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AlvarezDiaz\Downloads\"/>
    </mc:Choice>
  </mc:AlternateContent>
  <xr:revisionPtr revIDLastSave="0" documentId="13_ncr:1_{1B823D7C-0288-45F7-976F-2A18F4C6B7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reas V2 refinada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6" l="1"/>
  <c r="G66" i="6"/>
  <c r="G6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tc={4AF008BE-5AA1-443E-8288-F79FA9554110}</author>
    <author>tc={A913D996-9236-470D-BB67-A10EAE352A2E}</author>
    <author>tc={38C16F55-45EE-449D-B167-29803471F17E}</author>
    <author>tc={E1D80CC7-2FA1-4E1C-8D61-3A38AF9EB42D}</author>
    <author>tc={23F0C3FE-238A-4061-90F8-07E54B6B6C6A}</author>
    <author>tc={ED632C25-9846-4ED8-B9DD-97692D4EAF29}</author>
    <author>tc={C2C64D5C-9133-47E5-97B8-A9351BC51C94}</author>
    <author>tc={D5E56F3D-4DFE-41B7-8E67-EAD46A06EB6D}</author>
    <author>tc={456A0E1B-8513-40FA-9D34-F95748C30015}</author>
    <author>tc={E55EE4E9-1B31-49DC-9999-B59C4A298723}</author>
    <author>tc={A9376D78-6391-4346-A219-08874315274E}</author>
    <author>tc={A44FBFC8-1553-4BA3-80F4-18DC34269838}</author>
  </authors>
  <commentList>
    <comment ref="E31" authorId="0" shapeId="0" xr:uid="{4AF008BE-5AA1-443E-8288-F79FA95541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¿Buscador de Productos , en la Preinscripción ?
Respuesta:
    Esta tarea simplemente sería la lógica que implementaria un desarrollador del frontend para que la pantalla sepa pintar correctamente los productos agrupados.</t>
      </text>
    </comment>
    <comment ref="E45" authorId="1" shapeId="0" xr:uid="{A913D996-9236-470D-BB67-A10EAE352A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¿Diferencia con el requisito T-031?
Respuesta:
    T-XXX no son requisitos, son tareas. Lo he desgranado para facilitar su análisis y estimación. 
La diferencia con la T-031 es que Front no firma realmente, sino que llama al back, que es el que tiene que integrarse con la herramienta de firma electrónica.</t>
      </text>
    </comment>
    <comment ref="E46" authorId="2" shapeId="0" xr:uid="{38C16F55-45EE-449D-B167-29803471F1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¿Diferencia con el T-035?
Respuesta:
    Parte front, simplificada, botón que llama a back.
Parte back, simplificada, toda la lógica que genera el PDF que se va a imprimir.</t>
      </text>
    </comment>
    <comment ref="E48" authorId="3" shapeId="0" xr:uid="{E1D80CC7-2FA1-4E1C-8D61-3A38AF9EB4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¿Diferencia con el T-035?
Respuesta:
    Parte front, simplificada, botón que llama a back.
Parte back, simplificada, toda la lógica que genera el PDF que se va a imprimir.</t>
      </text>
    </comment>
    <comment ref="D67" authorId="4" shapeId="0" xr:uid="{23F0C3FE-238A-4061-90F8-07E54B6B6C6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Añadido lo que faltaba y especificado/modificado otros para claridad y mejor estimación
</t>
      </text>
    </comment>
    <comment ref="D68" authorId="5" shapeId="0" xr:uid="{ED632C25-9846-4ED8-B9DD-97692D4EAF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entiendo esta parte.... alguien que me explique
Respuesta:
    Posibilidad para nuestro acceso simulado desde fuera, cambiar a distintos tipos de profesoinal / perfiles
</t>
      </text>
    </comment>
    <comment ref="D69" authorId="6" shapeId="0" xr:uid="{C2C64D5C-9133-47E5-97B8-A9351BC51C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Esos avisos no va en tareas?</t>
      </text>
    </comment>
    <comment ref="D70" authorId="7" shapeId="0" xr:uid="{D5E56F3D-4DFE-41B7-8E67-EAD46A06EB6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Mencionamos que existía esta lógica de gestión de roles. O hay que añadirla?
</t>
      </text>
    </comment>
    <comment ref="D71" authorId="8" shapeId="0" xr:uid="{456A0E1B-8513-40FA-9D34-F95748C300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es parte ya del diseño y definición de base de datos, tarea específica del desarrollo de la solución
</t>
      </text>
    </comment>
    <comment ref="D72" authorId="9" shapeId="0" xr:uid="{E55EE4E9-1B31-49DC-9999-B59C4A2987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activa y desactiva el material ortoprotésico? en el catálogo o en la prescripción?
</t>
      </text>
    </comment>
    <comment ref="E73" authorId="10" shapeId="0" xr:uid="{A9376D78-6391-4346-A219-0887431527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Añadido lo que faltaba.</t>
      </text>
    </comment>
    <comment ref="E82" authorId="11" shapeId="0" xr:uid="{A44FBFC8-1553-4BA3-80F4-18DC342698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añade específicamente</t>
      </text>
    </comment>
  </commentList>
</comments>
</file>

<file path=xl/sharedStrings.xml><?xml version="1.0" encoding="utf-8"?>
<sst xmlns="http://schemas.openxmlformats.org/spreadsheetml/2006/main" count="470" uniqueCount="259">
  <si>
    <t>#</t>
  </si>
  <si>
    <t>Módulo2</t>
  </si>
  <si>
    <t>Tarea</t>
  </si>
  <si>
    <t>Pantalla o Interfaz, TIPO TAREA</t>
  </si>
  <si>
    <t>T-001</t>
  </si>
  <si>
    <t>TODOS</t>
  </si>
  <si>
    <t>Multi Idioma</t>
  </si>
  <si>
    <t>NO APLICA</t>
  </si>
  <si>
    <t>T-002</t>
  </si>
  <si>
    <t>INTEGRACIÓN EN OSABIDE GLOBAL</t>
  </si>
  <si>
    <t>Configuración y administración</t>
  </si>
  <si>
    <t>Administración y configuración del sistema</t>
  </si>
  <si>
    <t>T-003</t>
  </si>
  <si>
    <t>Autenticación y Autorización</t>
  </si>
  <si>
    <t>Autenticación y autorización del profesional</t>
  </si>
  <si>
    <t>PROCESO DE LOGIN</t>
  </si>
  <si>
    <t>T-004</t>
  </si>
  <si>
    <t>LOGIN EXTERNO</t>
  </si>
  <si>
    <t>Entrar a prescribir con acceso directo, sin estar dentro de osabide global</t>
  </si>
  <si>
    <t>Pantalla de Login</t>
  </si>
  <si>
    <t>T-005</t>
  </si>
  <si>
    <t>Catálogo</t>
  </si>
  <si>
    <t>Diseño y definición de base de datos de productos</t>
  </si>
  <si>
    <t>DISEÑO BBDD</t>
  </si>
  <si>
    <t>T-006</t>
  </si>
  <si>
    <t>Creación de la base de datos y pruebas</t>
  </si>
  <si>
    <t>SCRIPT</t>
  </si>
  <si>
    <t>T-007</t>
  </si>
  <si>
    <t>PROCESO</t>
  </si>
  <si>
    <t>T-008</t>
  </si>
  <si>
    <t>T-013</t>
  </si>
  <si>
    <t>PRESCRIPCION ORTOPROTÉSICA</t>
  </si>
  <si>
    <t>Prescripciones</t>
  </si>
  <si>
    <t>T-010</t>
  </si>
  <si>
    <t>PANTALLA FILTRO, LISTADO, DETALLE</t>
  </si>
  <si>
    <t>T-011</t>
  </si>
  <si>
    <t>T-012</t>
  </si>
  <si>
    <t>Gestión de Productos Ortoprotésicos favoritos (Fijos y Dinámicos)</t>
  </si>
  <si>
    <t>T-014</t>
  </si>
  <si>
    <t>T-015</t>
  </si>
  <si>
    <t>Interfaz de ficha de una perscripción con todos los detalles que la componen Facultativo, paciente, prescripciones , productos, etc.)</t>
  </si>
  <si>
    <t>T-016</t>
  </si>
  <si>
    <t>Crear Prescripción</t>
  </si>
  <si>
    <t>Crear cabecera de prescripcion y la primer prescripción a partir de un producto seleccionado</t>
  </si>
  <si>
    <t>T-017</t>
  </si>
  <si>
    <t>Añadir prescripciones a una prescripción cabecera a partir de seleccionar un producto</t>
  </si>
  <si>
    <t>OPERACIÓN FRONT END</t>
  </si>
  <si>
    <t>T-018</t>
  </si>
  <si>
    <t>VALIDACIÓN</t>
  </si>
  <si>
    <t>T-019</t>
  </si>
  <si>
    <t>Considerar el catálogo de indicadores por productos ( por ejemplo el informe para productos con visado)</t>
  </si>
  <si>
    <t>T-020</t>
  </si>
  <si>
    <t>PRECARGA DE DATOS</t>
  </si>
  <si>
    <t>T-021</t>
  </si>
  <si>
    <t>Precargar datos del paciente en la prescripción</t>
  </si>
  <si>
    <t>T-022</t>
  </si>
  <si>
    <t>T-023</t>
  </si>
  <si>
    <t>Firmar y autorizar la prescripción (Giltza)</t>
  </si>
  <si>
    <t>FIRMA DIGITAL</t>
  </si>
  <si>
    <t>T-024</t>
  </si>
  <si>
    <t>Imprimir prescripción</t>
  </si>
  <si>
    <t>PROCESO NEGOCIO, FRONT PDF, Y DISEÑO PDF</t>
  </si>
  <si>
    <t>T-025</t>
  </si>
  <si>
    <t>ACCION / PROCESO</t>
  </si>
  <si>
    <t>T-026</t>
  </si>
  <si>
    <t>TAREAS PENDIENTES</t>
  </si>
  <si>
    <t>T-027</t>
  </si>
  <si>
    <t>Actualización de tareas pendientes al cambiar el estado del visado. En caso de Visado rechazado se debe crear un nueva tarea de rechazo.</t>
  </si>
  <si>
    <t>T-028</t>
  </si>
  <si>
    <t>Interfaz de visualización de tarea pediente de visado solicitado, y visado rechazado</t>
  </si>
  <si>
    <t>PANTALLA DE TAREA</t>
  </si>
  <si>
    <t>T-029</t>
  </si>
  <si>
    <t>Gestión de tareas pendientes de visado rechazado (visualizadas, no visualizadas, histórico)</t>
  </si>
  <si>
    <t>T-030</t>
  </si>
  <si>
    <t>Consulta por TIS de paciente de prescripciones ortoprot. dispensables</t>
  </si>
  <si>
    <t>METODO API</t>
  </si>
  <si>
    <t>T-031</t>
  </si>
  <si>
    <t>T-032</t>
  </si>
  <si>
    <t>Desbloquear prescripción</t>
  </si>
  <si>
    <t>T-033</t>
  </si>
  <si>
    <t>T-034</t>
  </si>
  <si>
    <t>Dpto. Salud</t>
  </si>
  <si>
    <t>Recibir información por parte del departamento del visado de una prescripción</t>
  </si>
  <si>
    <t>T-035</t>
  </si>
  <si>
    <t>Modulo dentro de SOA para exponer datos de prescripciónes del paciente y que pueda ser consumido por otros módulos</t>
  </si>
  <si>
    <t>T-036</t>
  </si>
  <si>
    <t>QA</t>
  </si>
  <si>
    <t>Plan de pruebas de casos de uso</t>
  </si>
  <si>
    <t>PLAN DE PRUEBAS</t>
  </si>
  <si>
    <t>T-037</t>
  </si>
  <si>
    <t>DATA</t>
  </si>
  <si>
    <t>ETL de extración de datos de PRESCRIPCIONES y carga en bbdd de reporting de Osaki</t>
  </si>
  <si>
    <t>ETL</t>
  </si>
  <si>
    <t>T-038</t>
  </si>
  <si>
    <t>Proceso Osakidetza</t>
  </si>
  <si>
    <t>Modificar el proceso de unificación de pacientes, que existe en osakidetza, para incluir prescripciones ortoprotésicas</t>
  </si>
  <si>
    <t>MODIFICACIÓN DE PROCESO</t>
  </si>
  <si>
    <t>Epica / Modulo</t>
  </si>
  <si>
    <t>Caso de Uso / Feature</t>
  </si>
  <si>
    <t>Tarea / Historia</t>
  </si>
  <si>
    <t>Front/Back</t>
  </si>
  <si>
    <t>Estimación</t>
  </si>
  <si>
    <t>Front</t>
  </si>
  <si>
    <t>Back</t>
  </si>
  <si>
    <t>API gestión configuraciones.</t>
  </si>
  <si>
    <t>AUTH</t>
  </si>
  <si>
    <t>Login a través de OSABIDE GLOBAL pasando Token</t>
  </si>
  <si>
    <t>Pantalla de login externo</t>
  </si>
  <si>
    <t>Sistema de login externo</t>
  </si>
  <si>
    <t>CATALOGO</t>
  </si>
  <si>
    <t>Gestión de catálogo/Carga Nomenclator</t>
  </si>
  <si>
    <t>Diseño de base de datos</t>
  </si>
  <si>
    <t>Creación y pruebas de base de datos</t>
  </si>
  <si>
    <t>T-009</t>
  </si>
  <si>
    <t>Sistema de carga/recarga masiva del catálogo desde depto</t>
  </si>
  <si>
    <t>Proceso de carga masiva de nomenclator</t>
  </si>
  <si>
    <t>Sistema de carga/recarga “on-demand”</t>
  </si>
  <si>
    <t>Ejecutar mismo sistema de carga nomenclator pero bajo demanda</t>
  </si>
  <si>
    <t>Pantalla de gestión de catálogo</t>
  </si>
  <si>
    <t>Interfaz de Gestion/Administración del catálogo, con filtro, listado, ficha de producto que incluye un apartado con los campos modificables que son propiose de osakidetza</t>
  </si>
  <si>
    <t>PANTALLA CRU</t>
  </si>
  <si>
    <t>APIs CRUD gestión de catálogo</t>
  </si>
  <si>
    <t>Búsqueda Catálogo</t>
  </si>
  <si>
    <t>Pantalla/diálogo de búsqueda de catálogo</t>
  </si>
  <si>
    <t>Interfaz de Consulta de catálogo de productos , con filtros definidos y acceso al detalle de los productos</t>
  </si>
  <si>
    <t>Filtro de productos por tipo</t>
  </si>
  <si>
    <t>Filtro de producto por familia (grupo &gt; subgrupo &gt; categoria)</t>
  </si>
  <si>
    <t>Filtro de producto por código</t>
  </si>
  <si>
    <t>Pantalla de selección de productos</t>
  </si>
  <si>
    <t>Pantalla de selección de productos dónde se muestra el producto seleccionado y productos similares para asociar a la prescripción, que devuelva primeros los favoritos (pueden ser favoritos pasivos o activos)</t>
  </si>
  <si>
    <t>PANTALLA DE SELECCIÓN DE PRODUCTO</t>
  </si>
  <si>
    <t>Pantalla de gestión de favoritos</t>
  </si>
  <si>
    <t>P.Ortoprotesicos Favoritos</t>
  </si>
  <si>
    <t>PANTALLA DE GESTIÓN DE FAVORITOS</t>
  </si>
  <si>
    <t>Sistema de gestión de favoritos de facultativo</t>
  </si>
  <si>
    <t>Gestión de prescripciones</t>
  </si>
  <si>
    <t>Diseño de base de datos de prescripciones</t>
  </si>
  <si>
    <t>Diseño y definición de base de datos de prescripciones</t>
  </si>
  <si>
    <t>Creación y pruebas BD prescripciones</t>
  </si>
  <si>
    <t>Pantalla de consulta de prescripciones</t>
  </si>
  <si>
    <t>Interfaz con filtro ( por paciente, por facultativo etc.) y listado filtrado de prescripciones</t>
  </si>
  <si>
    <t>APIs de búsqueda/consulta de prescripciones con filtros</t>
  </si>
  <si>
    <t>API consulta detalles de una prescripción</t>
  </si>
  <si>
    <t>Pantalla consulta detalle prescripción</t>
  </si>
  <si>
    <t>PANTALLA FICHA DETALLE</t>
  </si>
  <si>
    <t>Pantalla de creación de prescripción con cabecera precargada</t>
  </si>
  <si>
    <t>PANTALLA TIPO FICHA AGRUPACION PRESCRIPCIONES</t>
  </si>
  <si>
    <t>Recuperar información facultativo</t>
  </si>
  <si>
    <t>Recuperar información paciente</t>
  </si>
  <si>
    <t>Añadir prescripciones (“productos” y agrupados) a la pantalla</t>
  </si>
  <si>
    <t>Si el producto requiere visado obligar a adjuntar informe</t>
  </si>
  <si>
    <t>Si el producto requiere Visado, obligar a que se adjunte un informe.</t>
  </si>
  <si>
    <t>Considerar el catálogo de productos</t>
  </si>
  <si>
    <t>Precargar datos del facultativo en la prescripcion</t>
  </si>
  <si>
    <t>Precarga de datos del producto en la prescripción , teniendo en cuenta que pueder ser un producto simple o una agrupación.</t>
  </si>
  <si>
    <t>Firmar y autorizar prescripción</t>
  </si>
  <si>
    <t>API Creación prescripción</t>
  </si>
  <si>
    <t>API Edición prescripción</t>
  </si>
  <si>
    <t>API Eliminación prescripción</t>
  </si>
  <si>
    <t>API Clonar Prescripción</t>
  </si>
  <si>
    <t>API Anular Prescripción.</t>
  </si>
  <si>
    <t>API Renovar Prescripción</t>
  </si>
  <si>
    <t>T-039</t>
  </si>
  <si>
    <t>Validar prescripción (aplicar validaciones)</t>
  </si>
  <si>
    <t>T-040</t>
  </si>
  <si>
    <t>Firmar y generar prescripción</t>
  </si>
  <si>
    <t>T-041</t>
  </si>
  <si>
    <t>T-042</t>
  </si>
  <si>
    <t>T-043</t>
  </si>
  <si>
    <t>Imprimir/Descargar informe</t>
  </si>
  <si>
    <t>T-044</t>
  </si>
  <si>
    <t>Exportar - Generar Excel</t>
  </si>
  <si>
    <t>T-045</t>
  </si>
  <si>
    <t>Prescripción recurrente</t>
  </si>
  <si>
    <t>Creación de Prescripción recurrente. Considerar si se hace a tiempo o antes de tiempo (Justificar si es antes de tiempo)</t>
  </si>
  <si>
    <t>T-046</t>
  </si>
  <si>
    <t>Gestión de tareas</t>
  </si>
  <si>
    <t>Crear tarea pendiente cuando prescripción requiera visado</t>
  </si>
  <si>
    <t>Creación de tarea pendiente por cada prescripicón que requierea visado</t>
  </si>
  <si>
    <t>T-047</t>
  </si>
  <si>
    <t>Actualizar tarea cuando cambie estado de visado</t>
  </si>
  <si>
    <t>T-048</t>
  </si>
  <si>
    <t>Pantalla de visualización de tareas</t>
  </si>
  <si>
    <t>T-049</t>
  </si>
  <si>
    <t>APIs gestión de tareas pendientes</t>
  </si>
  <si>
    <t>T-050</t>
  </si>
  <si>
    <t>DISPENSACIONES</t>
  </si>
  <si>
    <t>Interoperabilidad prescripciones</t>
  </si>
  <si>
    <t>API Consulta de prescripciones dispensables por paciente</t>
  </si>
  <si>
    <t>T-051</t>
  </si>
  <si>
    <t>Bloquear prescripción</t>
  </si>
  <si>
    <t>T-052</t>
  </si>
  <si>
    <t>T-053</t>
  </si>
  <si>
    <t>Recibir (API? Evento?) Información dispensación</t>
  </si>
  <si>
    <t>Ortopedias</t>
  </si>
  <si>
    <t>Recibir información de la de la dispensación de una prescripción</t>
  </si>
  <si>
    <t>T-054</t>
  </si>
  <si>
    <t>Recibir (API? Evento?) Información visado departamento</t>
  </si>
  <si>
    <t>T-055</t>
  </si>
  <si>
    <t>Creación de módulos necesarios en sistemas de OSABIDE</t>
  </si>
  <si>
    <t>T-056</t>
  </si>
  <si>
    <t>PRUEBAS Y TESTS UNITARIOS</t>
  </si>
  <si>
    <t>T-057</t>
  </si>
  <si>
    <t>T-058</t>
  </si>
  <si>
    <t>ETL DATA DB</t>
  </si>
  <si>
    <t>Envío de datos a BBDD de reporting</t>
  </si>
  <si>
    <t>Editar Presincripción</t>
  </si>
  <si>
    <t xml:space="preserve">Reactivar receta </t>
  </si>
  <si>
    <t>Total Back</t>
  </si>
  <si>
    <t>Eliminar Preinscripción</t>
  </si>
  <si>
    <t>Total Front</t>
  </si>
  <si>
    <t xml:space="preserve">Copiar Preinscripciónn </t>
  </si>
  <si>
    <t>TOTAL</t>
  </si>
  <si>
    <t>Cambiar Rol</t>
  </si>
  <si>
    <t xml:space="preserve">Pantalla Inicio  Preinscripciones </t>
  </si>
  <si>
    <t>Avisos : Preinscripciones pendiente modificación</t>
  </si>
  <si>
    <t xml:space="preserve">Mantenimiento </t>
  </si>
  <si>
    <t xml:space="preserve">Roles : admin , gestor materilaes , enfermera , </t>
  </si>
  <si>
    <t>Añadir, Editar, Eliminar , Copiar Rol</t>
  </si>
  <si>
    <t xml:space="preserve">Establecimientos </t>
  </si>
  <si>
    <t xml:space="preserve">Si al dispensar mostramos el establecimiento necesitamos tabla de establecimientos </t>
  </si>
  <si>
    <t>Material Ortoprotesico</t>
  </si>
  <si>
    <t xml:space="preserve">Activar / Desactivar </t>
  </si>
  <si>
    <t xml:space="preserve">presinscripciones </t>
  </si>
  <si>
    <t xml:space="preserve">Listado de todas las presincripciones </t>
  </si>
  <si>
    <t>Por facultativo  / Todas / ??</t>
  </si>
  <si>
    <t>Búsqueda de prescripciones</t>
  </si>
  <si>
    <t xml:space="preserve">Crear </t>
  </si>
  <si>
    <t xml:space="preserve">Editar </t>
  </si>
  <si>
    <t xml:space="preserve">Anular </t>
  </si>
  <si>
    <t xml:space="preserve">Renovar </t>
  </si>
  <si>
    <t>Descargar informe ( Preinscripción)</t>
  </si>
  <si>
    <t xml:space="preserve">Generar excel </t>
  </si>
  <si>
    <t>Detalle Preinscripción</t>
  </si>
  <si>
    <t>Estados Preinscripción</t>
  </si>
  <si>
    <t xml:space="preserve">Pendiente Firma </t>
  </si>
  <si>
    <t>Pendiente Inspección</t>
  </si>
  <si>
    <t>Rechazado Inspección</t>
  </si>
  <si>
    <t xml:space="preserve">Pendiente Modificación </t>
  </si>
  <si>
    <t>Anulado</t>
  </si>
  <si>
    <t xml:space="preserve">Pendiente Dispensación </t>
  </si>
  <si>
    <t>Dispensado</t>
  </si>
  <si>
    <t>No vigente</t>
  </si>
  <si>
    <t xml:space="preserve">Estado Materiales </t>
  </si>
  <si>
    <t>Pendiente validación prescriptor</t>
  </si>
  <si>
    <t>Pendiente modificación establecimiento</t>
  </si>
  <si>
    <t>Bloqueado</t>
  </si>
  <si>
    <t>Pago Registrado</t>
  </si>
  <si>
    <t>Pendiente subida presupuesto</t>
  </si>
  <si>
    <t>Pendiente validación presupuesto</t>
  </si>
  <si>
    <t>Presupuesto rechazado</t>
  </si>
  <si>
    <t>Añadir preinscripcion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</si>
  <si>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Pestaña Datos de la prescripción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</si>
  <si>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Arial"/>
        <family val="2"/>
      </rPr>
      <t>Pestaña Histórico de la prescripción</t>
    </r>
  </si>
  <si>
    <t>Bloque Información de la prescripción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</si>
  <si>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Nº Expediente. Año/mes/día - Número -– Provincia del usuario BDU. Se generará al editar la prescripción, en añadir estará vacío.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</si>
  <si>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Código de prescripción. Calculado al firmarse la prescripción.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</si>
  <si>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Provincia. Calculado a la provincia del paciente indicado.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</si>
  <si>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Diagnóstico y justificación anatómico-funcional. Campo de texto libre. Obligatorio.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</si>
</sst>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Symbol"/>
      <family val="1"/>
      <charset val="2"/>
    </font>
    <font>
      <sz val="7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49" fontId="0" fillId="0" borderId="0" xfId="0" applyNumberFormat="1" applyAlignmen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4" borderId="0" xfId="0" applyNumberFormat="1" applyFill="1" applyAlignment="1">
      <alignment vertical="center"/>
    </xf>
    <xf numFmtId="49" fontId="1" fillId="6" borderId="0" xfId="0" applyNumberFormat="1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top"/>
    </xf>
    <xf numFmtId="0" fontId="5" fillId="0" borderId="0" xfId="0" applyFont="1"/>
    <xf numFmtId="0" fontId="6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7" borderId="0" xfId="0" applyFill="1"/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0" fillId="2" borderId="0" xfId="0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100</xdr:row>
      <xdr:rowOff>0</xdr:rowOff>
    </xdr:from>
    <xdr:to>
      <xdr:col>8</xdr:col>
      <xdr:colOff>1466850</xdr:colOff>
      <xdr:row>136</xdr:row>
      <xdr:rowOff>85725</xdr:rowOff>
    </xdr:to>
    <xdr:pic>
      <xdr:nvPicPr>
        <xdr:cNvPr id="2" name="Picture 954732258">
          <a:extLst>
            <a:ext uri="{FF2B5EF4-FFF2-40B4-BE49-F238E27FC236}">
              <a16:creationId xmlns:a16="http://schemas.microsoft.com/office/drawing/2014/main" id="{014D90D0-2CAB-6158-C05B-1BE0AE3F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6900" y="18430875"/>
          <a:ext cx="5095875" cy="6867525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108</xdr:row>
      <xdr:rowOff>50800</xdr:rowOff>
    </xdr:from>
    <xdr:to>
      <xdr:col>4</xdr:col>
      <xdr:colOff>3648075</xdr:colOff>
      <xdr:row>117</xdr:row>
      <xdr:rowOff>41275</xdr:rowOff>
    </xdr:to>
    <xdr:pic>
      <xdr:nvPicPr>
        <xdr:cNvPr id="4" name="Picture 1046665892">
          <a:extLst>
            <a:ext uri="{FF2B5EF4-FFF2-40B4-BE49-F238E27FC236}">
              <a16:creationId xmlns:a16="http://schemas.microsoft.com/office/drawing/2014/main" id="{DB80A3FB-C81A-1276-4193-967BA8449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18548350"/>
          <a:ext cx="5762625" cy="1647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gor Ruiz Casado" id="{9728D89B-67C4-4556-92EB-48CAEEA4EA1E}" userId="S::iruizc@hiberus.com::1d5c6b46-cf57-4525-8769-7e544ba6cdae" providerId="AD"/>
  <person displayName="Claudia Alvarez Diaz" id="{D8221070-BFEB-45FB-9AA3-200242A19ED0}" userId="S::calvarez@hiberus.com::9ad40251-f506-4ddb-866a-1df7860d14cc" providerId="AD"/>
  <person displayName="Maria Mutuberria Zabala" id="{90E7A101-F717-45FF-B1AD-B05D9EC6D850}" userId="S::mmutuberria@hiberus.com::7d27d51d-1445-4076-9c26-4c32753381d4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6-03-02T18:07:25.87" personId="{90E7A101-F717-45FF-B1AD-B05D9EC6D850}" id="{4AF008BE-5AA1-443E-8288-F79FA9554110}">
    <text>¿Buscador de Productos , en la Preinscripción ?</text>
  </threadedComment>
  <threadedComment ref="E31" dT="2026-03-03T07:24:25.11" personId="{9728D89B-67C4-4556-92EB-48CAEEA4EA1E}" id="{37DF9C74-60C4-46AC-9E4D-C037CC486A3E}" parentId="{4AF008BE-5AA1-443E-8288-F79FA9554110}">
    <text>Esta tarea simplemente sería la lógica que implementaria un desarrollador del frontend para que la pantalla sepa pintar correctamente los productos agrupados.</text>
  </threadedComment>
  <threadedComment ref="E45" dT="2026-03-02T18:04:18.33" personId="{90E7A101-F717-45FF-B1AD-B05D9EC6D850}" id="{A913D996-9236-470D-BB67-A10EAE352A2E}">
    <text xml:space="preserve">¿Diferencia con el requisito T-031?
</text>
  </threadedComment>
  <threadedComment ref="E45" dT="2026-03-03T07:25:48.52" personId="{9728D89B-67C4-4556-92EB-48CAEEA4EA1E}" id="{EAFBD47F-4D66-4F64-AB8C-65A67AC98507}" parentId="{A913D996-9236-470D-BB67-A10EAE352A2E}">
    <text>T-XXX no son requisitos, son tareas. Lo he desgranado para facilitar su análisis y estimación. 
La diferencia con la T-031 es que Front no firma realmente, sino que llama al back, que es el que tiene que integrarse con la herramienta de firma electrónica.</text>
  </threadedComment>
  <threadedComment ref="E46" dT="2026-03-02T18:04:44.26" personId="{90E7A101-F717-45FF-B1AD-B05D9EC6D850}" id="{38C16F55-45EE-449D-B167-29803471F17E}">
    <text>¿Diferencia con el T-035?</text>
  </threadedComment>
  <threadedComment ref="E46" dT="2026-03-03T07:26:35.54" personId="{9728D89B-67C4-4556-92EB-48CAEEA4EA1E}" id="{25941775-B6FF-4AD8-B903-DBC6696312CC}" parentId="{38C16F55-45EE-449D-B167-29803471F17E}">
    <text>Parte front, simplificada, botón que llama a back.
Parte back, simplificada, toda la lógica que genera el PDF que se va a imprimir.</text>
  </threadedComment>
  <threadedComment ref="E48" dT="2026-03-02T18:04:44.26" personId="{90E7A101-F717-45FF-B1AD-B05D9EC6D850}" id="{E1D80CC7-2FA1-4E1C-8D61-3A38AF9EB42D}">
    <text>¿Diferencia con el T-035?</text>
  </threadedComment>
  <threadedComment ref="E48" dT="2026-03-03T07:26:35.54" personId="{9728D89B-67C4-4556-92EB-48CAEEA4EA1E}" id="{B3E9EB0C-C022-45B1-BFD0-84994E62A532}" parentId="{E1D80CC7-2FA1-4E1C-8D61-3A38AF9EB42D}">
    <text>Parte front, simplificada, botón que llama a back.
Parte back, simplificada, toda la lógica que genera el PDF que se va a imprimir.</text>
  </threadedComment>
  <threadedComment ref="D67" dT="2026-03-03T07:47:56.04" personId="{9728D89B-67C4-4556-92EB-48CAEEA4EA1E}" id="{23F0C3FE-238A-4061-90F8-07E54B6B6C6A}">
    <text xml:space="preserve">Añadido lo que faltaba y especificado/modificado otros para claridad y mejor estimación
</text>
  </threadedComment>
  <threadedComment ref="D68" dT="2026-03-03T07:35:22.40" personId="{9728D89B-67C4-4556-92EB-48CAEEA4EA1E}" id="{ED632C25-9846-4ED8-B9DD-97692D4EAF29}">
    <text xml:space="preserve">No entiendo esta parte.... alguien que me explique
</text>
  </threadedComment>
  <threadedComment ref="D68" dT="2026-03-03T12:51:11.49" personId="{D8221070-BFEB-45FB-9AA3-200242A19ED0}" id="{95E05E69-2629-45A1-B5AA-DE093E17C5FA}" parentId="{ED632C25-9846-4ED8-B9DD-97692D4EAF29}">
    <text xml:space="preserve">Posibilidad para nuestro acceso simulado desde fuera, cambiar a distintos tipos de profesoinal / perfiles
</text>
  </threadedComment>
  <threadedComment ref="D69" dT="2026-03-03T07:37:58.14" personId="{9728D89B-67C4-4556-92EB-48CAEEA4EA1E}" id="{C2C64D5C-9133-47E5-97B8-A9351BC51C94}">
    <text>Esos avisos no va en tareas?</text>
  </threadedComment>
  <threadedComment ref="D70" dT="2026-03-03T07:38:46.68" personId="{9728D89B-67C4-4556-92EB-48CAEEA4EA1E}" id="{D5E56F3D-4DFE-41B7-8E67-EAD46A06EB6D}">
    <text xml:space="preserve">Mencionamos que existía esta lógica de gestión de roles. O hay que añadirla?
</text>
  </threadedComment>
  <threadedComment ref="D71" dT="2026-03-03T07:39:20.74" personId="{9728D89B-67C4-4556-92EB-48CAEEA4EA1E}" id="{456A0E1B-8513-40FA-9D34-F95748C30015}">
    <text xml:space="preserve">Esto es parte ya del diseño y definición de base de datos, tarea específica del desarrollo de la solución
</text>
  </threadedComment>
  <threadedComment ref="D72" dT="2026-03-03T07:40:16.97" personId="{9728D89B-67C4-4556-92EB-48CAEEA4EA1E}" id="{E55EE4E9-1B31-49DC-9999-B59C4A298723}">
    <text xml:space="preserve">Se activa y desactiva el material ortoprotésico? en el catálogo o en la prescripción?
</text>
  </threadedComment>
  <threadedComment ref="E73" dT="2026-03-03T07:47:15.53" personId="{9728D89B-67C4-4556-92EB-48CAEEA4EA1E}" id="{A9376D78-6391-4346-A219-08874315274E}">
    <text>Añadido lo que faltaba.</text>
  </threadedComment>
  <threadedComment ref="E82" dT="2026-03-03T07:48:26.01" personId="{9728D89B-67C4-4556-92EB-48CAEEA4EA1E}" id="{A44FBFC8-1553-4BA3-80F4-18DC34269838}">
    <text>Se añade específicamente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FE7D-3B74-48AE-8BA6-65BB7A8AA1EE}">
  <dimension ref="B2:J108"/>
  <sheetViews>
    <sheetView tabSelected="1" topLeftCell="A38" workbookViewId="0">
      <selection activeCell="H70" sqref="H70"/>
    </sheetView>
  </sheetViews>
  <sheetFormatPr baseColWidth="10" defaultColWidth="8.7265625" defaultRowHeight="14.5" x14ac:dyDescent="0.35"/>
  <cols>
    <col min="3" max="3" width="29.453125" bestFit="1" customWidth="1"/>
    <col min="4" max="4" width="39.26953125" customWidth="1"/>
    <col min="5" max="5" width="56.1796875" bestFit="1" customWidth="1"/>
    <col min="6" max="6" width="11" bestFit="1" customWidth="1"/>
    <col min="7" max="7" width="10.81640625" bestFit="1" customWidth="1"/>
    <col min="8" max="8" width="32.54296875" bestFit="1" customWidth="1"/>
    <col min="9" max="9" width="186.7265625" bestFit="1" customWidth="1"/>
    <col min="10" max="10" width="49.54296875" bestFit="1" customWidth="1"/>
  </cols>
  <sheetData>
    <row r="2" spans="2:10" x14ac:dyDescent="0.35">
      <c r="B2" s="5" t="s">
        <v>0</v>
      </c>
      <c r="C2" s="5" t="s">
        <v>97</v>
      </c>
      <c r="D2" s="5" t="s">
        <v>98</v>
      </c>
      <c r="E2" s="5" t="s">
        <v>99</v>
      </c>
      <c r="F2" s="6" t="s">
        <v>100</v>
      </c>
      <c r="G2" s="6" t="s">
        <v>101</v>
      </c>
      <c r="H2" s="6" t="s">
        <v>1</v>
      </c>
      <c r="I2" s="6" t="s">
        <v>2</v>
      </c>
      <c r="J2" s="6" t="s">
        <v>3</v>
      </c>
    </row>
    <row r="3" spans="2:10" x14ac:dyDescent="0.35">
      <c r="B3" s="7" t="s">
        <v>4</v>
      </c>
      <c r="C3" s="8" t="s">
        <v>5</v>
      </c>
      <c r="D3" s="8" t="s">
        <v>6</v>
      </c>
      <c r="E3" s="8" t="s">
        <v>6</v>
      </c>
      <c r="F3" s="9" t="s">
        <v>102</v>
      </c>
      <c r="G3" s="9">
        <v>60</v>
      </c>
      <c r="H3" s="9" t="s">
        <v>5</v>
      </c>
      <c r="I3" s="10" t="s">
        <v>6</v>
      </c>
      <c r="J3" s="10" t="s">
        <v>7</v>
      </c>
    </row>
    <row r="4" spans="2:10" x14ac:dyDescent="0.35">
      <c r="B4" s="4" t="s">
        <v>8</v>
      </c>
      <c r="C4" s="1" t="s">
        <v>5</v>
      </c>
      <c r="D4" s="1" t="s">
        <v>6</v>
      </c>
      <c r="E4" s="1" t="s">
        <v>6</v>
      </c>
      <c r="F4" s="2" t="s">
        <v>103</v>
      </c>
      <c r="G4" s="2">
        <v>60</v>
      </c>
      <c r="H4" s="2"/>
      <c r="I4" s="3"/>
      <c r="J4" s="3"/>
    </row>
    <row r="5" spans="2:10" x14ac:dyDescent="0.35">
      <c r="B5" s="7" t="s">
        <v>12</v>
      </c>
      <c r="C5" s="8" t="s">
        <v>5</v>
      </c>
      <c r="D5" s="8" t="s">
        <v>10</v>
      </c>
      <c r="E5" s="8" t="s">
        <v>104</v>
      </c>
      <c r="F5" s="9" t="s">
        <v>103</v>
      </c>
      <c r="G5" s="9">
        <v>40</v>
      </c>
      <c r="H5" s="9" t="s">
        <v>9</v>
      </c>
      <c r="I5" s="10" t="s">
        <v>11</v>
      </c>
      <c r="J5" s="10" t="s">
        <v>7</v>
      </c>
    </row>
    <row r="6" spans="2:10" x14ac:dyDescent="0.35">
      <c r="B6" s="4" t="s">
        <v>16</v>
      </c>
      <c r="C6" s="1" t="s">
        <v>105</v>
      </c>
      <c r="D6" s="1" t="s">
        <v>13</v>
      </c>
      <c r="E6" s="1" t="s">
        <v>106</v>
      </c>
      <c r="F6" s="2" t="s">
        <v>102</v>
      </c>
      <c r="G6" s="2">
        <v>40</v>
      </c>
      <c r="H6" s="2" t="s">
        <v>9</v>
      </c>
      <c r="I6" s="3" t="s">
        <v>14</v>
      </c>
      <c r="J6" s="3" t="s">
        <v>15</v>
      </c>
    </row>
    <row r="7" spans="2:10" x14ac:dyDescent="0.35">
      <c r="B7" s="7" t="s">
        <v>20</v>
      </c>
      <c r="C7" s="8" t="s">
        <v>105</v>
      </c>
      <c r="D7" s="8" t="s">
        <v>13</v>
      </c>
      <c r="E7" s="8" t="s">
        <v>107</v>
      </c>
      <c r="F7" s="9" t="s">
        <v>102</v>
      </c>
      <c r="G7" s="9">
        <v>30</v>
      </c>
      <c r="H7" s="9"/>
      <c r="I7" s="10"/>
      <c r="J7" s="10"/>
    </row>
    <row r="8" spans="2:10" x14ac:dyDescent="0.35">
      <c r="B8" s="4" t="s">
        <v>24</v>
      </c>
      <c r="C8" s="1" t="s">
        <v>105</v>
      </c>
      <c r="D8" s="1" t="s">
        <v>13</v>
      </c>
      <c r="E8" s="1" t="s">
        <v>108</v>
      </c>
      <c r="F8" s="2" t="s">
        <v>103</v>
      </c>
      <c r="G8" s="2">
        <v>60</v>
      </c>
      <c r="H8" s="2" t="s">
        <v>17</v>
      </c>
      <c r="I8" s="3" t="s">
        <v>18</v>
      </c>
      <c r="J8" s="3" t="s">
        <v>19</v>
      </c>
    </row>
    <row r="9" spans="2:10" x14ac:dyDescent="0.35">
      <c r="B9" s="7" t="s">
        <v>27</v>
      </c>
      <c r="C9" s="8" t="s">
        <v>109</v>
      </c>
      <c r="D9" s="8" t="s">
        <v>110</v>
      </c>
      <c r="E9" s="8" t="s">
        <v>111</v>
      </c>
      <c r="F9" s="9" t="s">
        <v>103</v>
      </c>
      <c r="G9" s="9">
        <v>40</v>
      </c>
      <c r="H9" s="9" t="s">
        <v>21</v>
      </c>
      <c r="I9" s="10" t="s">
        <v>22</v>
      </c>
      <c r="J9" s="10" t="s">
        <v>23</v>
      </c>
    </row>
    <row r="10" spans="2:10" x14ac:dyDescent="0.35">
      <c r="B10" s="4" t="s">
        <v>29</v>
      </c>
      <c r="C10" s="1" t="s">
        <v>109</v>
      </c>
      <c r="D10" s="1" t="s">
        <v>110</v>
      </c>
      <c r="E10" s="1" t="s">
        <v>112</v>
      </c>
      <c r="F10" s="2" t="s">
        <v>103</v>
      </c>
      <c r="G10" s="2">
        <v>20</v>
      </c>
      <c r="H10" s="2" t="s">
        <v>21</v>
      </c>
      <c r="I10" s="3" t="s">
        <v>25</v>
      </c>
      <c r="J10" s="3" t="s">
        <v>26</v>
      </c>
    </row>
    <row r="11" spans="2:10" x14ac:dyDescent="0.35">
      <c r="B11" s="7" t="s">
        <v>113</v>
      </c>
      <c r="C11" s="8" t="s">
        <v>109</v>
      </c>
      <c r="D11" s="8" t="s">
        <v>110</v>
      </c>
      <c r="E11" s="8" t="s">
        <v>114</v>
      </c>
      <c r="F11" s="9" t="s">
        <v>103</v>
      </c>
      <c r="G11" s="9">
        <v>40</v>
      </c>
      <c r="H11" s="9" t="s">
        <v>21</v>
      </c>
      <c r="I11" s="10" t="s">
        <v>115</v>
      </c>
      <c r="J11" s="10" t="s">
        <v>28</v>
      </c>
    </row>
    <row r="12" spans="2:10" x14ac:dyDescent="0.35">
      <c r="B12" s="4" t="s">
        <v>33</v>
      </c>
      <c r="C12" s="1" t="s">
        <v>109</v>
      </c>
      <c r="D12" s="1" t="s">
        <v>110</v>
      </c>
      <c r="E12" s="1" t="s">
        <v>116</v>
      </c>
      <c r="F12" s="2" t="s">
        <v>103</v>
      </c>
      <c r="G12" s="2">
        <v>20</v>
      </c>
      <c r="H12" s="2" t="s">
        <v>21</v>
      </c>
      <c r="I12" s="3" t="s">
        <v>117</v>
      </c>
      <c r="J12" s="3" t="s">
        <v>28</v>
      </c>
    </row>
    <row r="13" spans="2:10" x14ac:dyDescent="0.35">
      <c r="B13" s="7" t="s">
        <v>35</v>
      </c>
      <c r="C13" s="8" t="s">
        <v>109</v>
      </c>
      <c r="D13" s="8" t="s">
        <v>110</v>
      </c>
      <c r="E13" s="8" t="s">
        <v>118</v>
      </c>
      <c r="F13" s="9" t="s">
        <v>102</v>
      </c>
      <c r="G13" s="9">
        <v>40</v>
      </c>
      <c r="H13" s="9" t="s">
        <v>21</v>
      </c>
      <c r="I13" s="10" t="s">
        <v>119</v>
      </c>
      <c r="J13" s="10" t="s">
        <v>120</v>
      </c>
    </row>
    <row r="14" spans="2:10" x14ac:dyDescent="0.35">
      <c r="B14" s="4" t="s">
        <v>36</v>
      </c>
      <c r="C14" s="1" t="s">
        <v>109</v>
      </c>
      <c r="D14" s="1" t="s">
        <v>110</v>
      </c>
      <c r="E14" s="1" t="s">
        <v>121</v>
      </c>
      <c r="F14" s="2" t="s">
        <v>103</v>
      </c>
      <c r="G14" s="2">
        <v>60</v>
      </c>
      <c r="H14" s="2"/>
      <c r="I14" s="3"/>
      <c r="J14" s="3"/>
    </row>
    <row r="15" spans="2:10" x14ac:dyDescent="0.35">
      <c r="B15" s="7" t="s">
        <v>30</v>
      </c>
      <c r="C15" s="8" t="s">
        <v>109</v>
      </c>
      <c r="D15" s="8" t="s">
        <v>122</v>
      </c>
      <c r="E15" s="8" t="s">
        <v>123</v>
      </c>
      <c r="F15" s="9" t="s">
        <v>102</v>
      </c>
      <c r="G15" s="9">
        <v>40</v>
      </c>
      <c r="H15" s="9" t="s">
        <v>21</v>
      </c>
      <c r="I15" s="10" t="s">
        <v>124</v>
      </c>
      <c r="J15" s="10" t="s">
        <v>34</v>
      </c>
    </row>
    <row r="16" spans="2:10" x14ac:dyDescent="0.35">
      <c r="B16" s="4" t="s">
        <v>38</v>
      </c>
      <c r="C16" s="1" t="s">
        <v>109</v>
      </c>
      <c r="D16" s="1" t="s">
        <v>122</v>
      </c>
      <c r="E16" s="1" t="s">
        <v>125</v>
      </c>
      <c r="F16" s="2" t="s">
        <v>103</v>
      </c>
      <c r="G16" s="2">
        <v>20</v>
      </c>
      <c r="H16" s="2"/>
      <c r="I16" s="3"/>
      <c r="J16" s="3"/>
    </row>
    <row r="17" spans="2:10" x14ac:dyDescent="0.35">
      <c r="B17" s="7" t="s">
        <v>39</v>
      </c>
      <c r="C17" s="8" t="s">
        <v>109</v>
      </c>
      <c r="D17" s="8" t="s">
        <v>122</v>
      </c>
      <c r="E17" s="8" t="s">
        <v>126</v>
      </c>
      <c r="F17" s="9" t="s">
        <v>103</v>
      </c>
      <c r="G17" s="9">
        <v>20</v>
      </c>
      <c r="H17" s="9"/>
      <c r="I17" s="10"/>
      <c r="J17" s="10"/>
    </row>
    <row r="18" spans="2:10" x14ac:dyDescent="0.35">
      <c r="B18" s="4" t="s">
        <v>41</v>
      </c>
      <c r="C18" s="1" t="s">
        <v>109</v>
      </c>
      <c r="D18" s="1" t="s">
        <v>122</v>
      </c>
      <c r="E18" s="1" t="s">
        <v>127</v>
      </c>
      <c r="F18" s="2" t="s">
        <v>103</v>
      </c>
      <c r="G18" s="2">
        <v>20</v>
      </c>
      <c r="H18" s="2"/>
      <c r="I18" s="3"/>
      <c r="J18" s="3"/>
    </row>
    <row r="19" spans="2:10" x14ac:dyDescent="0.35">
      <c r="B19" s="7" t="s">
        <v>44</v>
      </c>
      <c r="C19" s="8" t="s">
        <v>109</v>
      </c>
      <c r="D19" s="8" t="s">
        <v>122</v>
      </c>
      <c r="E19" s="8" t="s">
        <v>128</v>
      </c>
      <c r="F19" s="9" t="s">
        <v>102</v>
      </c>
      <c r="G19" s="9">
        <v>40</v>
      </c>
      <c r="H19" s="9" t="s">
        <v>21</v>
      </c>
      <c r="I19" s="10" t="s">
        <v>129</v>
      </c>
      <c r="J19" s="10" t="s">
        <v>130</v>
      </c>
    </row>
    <row r="20" spans="2:10" x14ac:dyDescent="0.35">
      <c r="B20" s="4" t="s">
        <v>47</v>
      </c>
      <c r="C20" s="1" t="s">
        <v>109</v>
      </c>
      <c r="D20" s="1" t="s">
        <v>122</v>
      </c>
      <c r="E20" s="1" t="s">
        <v>131</v>
      </c>
      <c r="F20" s="2" t="s">
        <v>102</v>
      </c>
      <c r="G20" s="2">
        <v>40</v>
      </c>
      <c r="H20" s="2" t="s">
        <v>132</v>
      </c>
      <c r="I20" s="3" t="s">
        <v>37</v>
      </c>
      <c r="J20" s="3" t="s">
        <v>133</v>
      </c>
    </row>
    <row r="21" spans="2:10" x14ac:dyDescent="0.35">
      <c r="B21" s="7" t="s">
        <v>49</v>
      </c>
      <c r="C21" s="8" t="s">
        <v>109</v>
      </c>
      <c r="D21" s="8" t="s">
        <v>122</v>
      </c>
      <c r="E21" s="8" t="s">
        <v>134</v>
      </c>
      <c r="F21" s="9" t="s">
        <v>103</v>
      </c>
      <c r="G21" s="9">
        <v>30</v>
      </c>
      <c r="H21" s="9"/>
      <c r="I21" s="10"/>
      <c r="J21" s="10"/>
    </row>
    <row r="22" spans="2:10" x14ac:dyDescent="0.35">
      <c r="B22" s="4" t="s">
        <v>51</v>
      </c>
      <c r="C22" s="1" t="s">
        <v>31</v>
      </c>
      <c r="D22" s="1" t="s">
        <v>135</v>
      </c>
      <c r="E22" s="1" t="s">
        <v>136</v>
      </c>
      <c r="F22" s="2" t="s">
        <v>103</v>
      </c>
      <c r="G22" s="2">
        <v>40</v>
      </c>
      <c r="H22" s="2" t="s">
        <v>32</v>
      </c>
      <c r="I22" s="3" t="s">
        <v>137</v>
      </c>
      <c r="J22" s="3" t="s">
        <v>23</v>
      </c>
    </row>
    <row r="23" spans="2:10" x14ac:dyDescent="0.35">
      <c r="B23" s="7" t="s">
        <v>53</v>
      </c>
      <c r="C23" s="8" t="s">
        <v>31</v>
      </c>
      <c r="D23" s="8" t="s">
        <v>135</v>
      </c>
      <c r="E23" s="8" t="s">
        <v>138</v>
      </c>
      <c r="F23" s="9" t="s">
        <v>103</v>
      </c>
      <c r="G23" s="9">
        <v>20</v>
      </c>
      <c r="H23" s="9"/>
      <c r="I23" s="10"/>
      <c r="J23" s="10"/>
    </row>
    <row r="24" spans="2:10" x14ac:dyDescent="0.35">
      <c r="B24" s="4" t="s">
        <v>55</v>
      </c>
      <c r="C24" s="1" t="s">
        <v>31</v>
      </c>
      <c r="D24" s="1" t="s">
        <v>135</v>
      </c>
      <c r="E24" s="1" t="s">
        <v>139</v>
      </c>
      <c r="F24" s="2" t="s">
        <v>102</v>
      </c>
      <c r="G24" s="2">
        <v>40</v>
      </c>
      <c r="H24" s="2" t="s">
        <v>32</v>
      </c>
      <c r="I24" s="3" t="s">
        <v>140</v>
      </c>
      <c r="J24" s="3" t="s">
        <v>120</v>
      </c>
    </row>
    <row r="25" spans="2:10" x14ac:dyDescent="0.35">
      <c r="B25" s="7" t="s">
        <v>56</v>
      </c>
      <c r="C25" s="8" t="s">
        <v>31</v>
      </c>
      <c r="D25" s="8" t="s">
        <v>135</v>
      </c>
      <c r="E25" s="8" t="s">
        <v>141</v>
      </c>
      <c r="F25" s="9" t="s">
        <v>103</v>
      </c>
      <c r="G25" s="9">
        <v>60</v>
      </c>
      <c r="H25" s="9"/>
      <c r="I25" s="10"/>
      <c r="J25" s="10"/>
    </row>
    <row r="26" spans="2:10" x14ac:dyDescent="0.35">
      <c r="B26" s="4" t="s">
        <v>59</v>
      </c>
      <c r="C26" s="1" t="s">
        <v>31</v>
      </c>
      <c r="D26" s="1" t="s">
        <v>135</v>
      </c>
      <c r="E26" s="1" t="s">
        <v>142</v>
      </c>
      <c r="F26" s="2" t="s">
        <v>103</v>
      </c>
      <c r="G26" s="2">
        <v>20</v>
      </c>
      <c r="H26" s="2"/>
      <c r="I26" s="3"/>
      <c r="J26" s="3"/>
    </row>
    <row r="27" spans="2:10" x14ac:dyDescent="0.35">
      <c r="B27" s="7" t="s">
        <v>62</v>
      </c>
      <c r="C27" s="8" t="s">
        <v>31</v>
      </c>
      <c r="D27" s="8" t="s">
        <v>135</v>
      </c>
      <c r="E27" s="8" t="s">
        <v>143</v>
      </c>
      <c r="F27" s="9" t="s">
        <v>102</v>
      </c>
      <c r="G27" s="9">
        <v>40</v>
      </c>
      <c r="H27" s="9" t="s">
        <v>32</v>
      </c>
      <c r="I27" s="10" t="s">
        <v>40</v>
      </c>
      <c r="J27" s="10" t="s">
        <v>144</v>
      </c>
    </row>
    <row r="28" spans="2:10" x14ac:dyDescent="0.35">
      <c r="B28" s="4" t="s">
        <v>64</v>
      </c>
      <c r="C28" s="1" t="s">
        <v>31</v>
      </c>
      <c r="D28" s="1" t="s">
        <v>42</v>
      </c>
      <c r="E28" s="1" t="s">
        <v>145</v>
      </c>
      <c r="F28" s="2" t="s">
        <v>102</v>
      </c>
      <c r="G28" s="2">
        <v>40</v>
      </c>
      <c r="H28" s="2" t="s">
        <v>32</v>
      </c>
      <c r="I28" s="3" t="s">
        <v>43</v>
      </c>
      <c r="J28" s="3" t="s">
        <v>146</v>
      </c>
    </row>
    <row r="29" spans="2:10" x14ac:dyDescent="0.35">
      <c r="B29" s="7" t="s">
        <v>66</v>
      </c>
      <c r="C29" s="8" t="s">
        <v>31</v>
      </c>
      <c r="D29" s="8" t="s">
        <v>42</v>
      </c>
      <c r="E29" s="8" t="s">
        <v>147</v>
      </c>
      <c r="F29" s="9" t="s">
        <v>103</v>
      </c>
      <c r="G29" s="9">
        <v>40</v>
      </c>
      <c r="H29" s="9"/>
      <c r="I29" s="10"/>
      <c r="J29" s="10"/>
    </row>
    <row r="30" spans="2:10" x14ac:dyDescent="0.35">
      <c r="B30" s="4" t="s">
        <v>68</v>
      </c>
      <c r="C30" s="1" t="s">
        <v>31</v>
      </c>
      <c r="D30" s="1" t="s">
        <v>42</v>
      </c>
      <c r="E30" s="1" t="s">
        <v>148</v>
      </c>
      <c r="F30" s="2" t="s">
        <v>103</v>
      </c>
      <c r="G30" s="2">
        <v>40</v>
      </c>
      <c r="H30" s="2"/>
      <c r="I30" s="3"/>
      <c r="J30" s="3"/>
    </row>
    <row r="31" spans="2:10" x14ac:dyDescent="0.35">
      <c r="B31" s="7" t="s">
        <v>71</v>
      </c>
      <c r="C31" s="8" t="s">
        <v>31</v>
      </c>
      <c r="D31" s="8" t="s">
        <v>42</v>
      </c>
      <c r="E31" s="8" t="s">
        <v>149</v>
      </c>
      <c r="F31" s="9" t="s">
        <v>102</v>
      </c>
      <c r="G31" s="9">
        <v>20</v>
      </c>
      <c r="H31" s="9" t="s">
        <v>32</v>
      </c>
      <c r="I31" s="10" t="s">
        <v>45</v>
      </c>
      <c r="J31" s="10" t="s">
        <v>46</v>
      </c>
    </row>
    <row r="32" spans="2:10" x14ac:dyDescent="0.35">
      <c r="B32" s="4" t="s">
        <v>73</v>
      </c>
      <c r="C32" s="1" t="s">
        <v>31</v>
      </c>
      <c r="D32" s="1" t="s">
        <v>42</v>
      </c>
      <c r="E32" s="1" t="s">
        <v>150</v>
      </c>
      <c r="F32" s="2" t="s">
        <v>102</v>
      </c>
      <c r="G32" s="2">
        <v>20</v>
      </c>
      <c r="H32" s="2" t="s">
        <v>32</v>
      </c>
      <c r="I32" s="3" t="s">
        <v>151</v>
      </c>
      <c r="J32" s="3" t="s">
        <v>48</v>
      </c>
    </row>
    <row r="33" spans="2:10" x14ac:dyDescent="0.35">
      <c r="B33" s="7" t="s">
        <v>76</v>
      </c>
      <c r="C33" s="8" t="s">
        <v>31</v>
      </c>
      <c r="D33" s="8" t="s">
        <v>42</v>
      </c>
      <c r="E33" s="8" t="s">
        <v>152</v>
      </c>
      <c r="F33" s="9" t="s">
        <v>102</v>
      </c>
      <c r="G33" s="9">
        <v>20</v>
      </c>
      <c r="H33" s="9" t="s">
        <v>32</v>
      </c>
      <c r="I33" s="10" t="s">
        <v>50</v>
      </c>
      <c r="J33" s="10" t="s">
        <v>48</v>
      </c>
    </row>
    <row r="34" spans="2:10" x14ac:dyDescent="0.35">
      <c r="B34" s="16"/>
      <c r="C34" s="17"/>
      <c r="D34" s="17"/>
      <c r="E34" s="17"/>
      <c r="F34" s="18"/>
      <c r="G34" s="18"/>
      <c r="H34" s="18" t="s">
        <v>32</v>
      </c>
      <c r="I34" s="19" t="s">
        <v>153</v>
      </c>
      <c r="J34" s="19" t="s">
        <v>52</v>
      </c>
    </row>
    <row r="35" spans="2:10" x14ac:dyDescent="0.35">
      <c r="B35" s="16"/>
      <c r="C35" s="17"/>
      <c r="D35" s="17"/>
      <c r="E35" s="17"/>
      <c r="F35" s="18"/>
      <c r="G35" s="18"/>
      <c r="H35" s="18" t="s">
        <v>32</v>
      </c>
      <c r="I35" s="19" t="s">
        <v>54</v>
      </c>
      <c r="J35" s="19" t="s">
        <v>52</v>
      </c>
    </row>
    <row r="36" spans="2:10" x14ac:dyDescent="0.35">
      <c r="B36" s="16"/>
      <c r="C36" s="17"/>
      <c r="D36" s="17"/>
      <c r="E36" s="17"/>
      <c r="F36" s="18"/>
      <c r="G36" s="18"/>
      <c r="H36" s="18" t="s">
        <v>32</v>
      </c>
      <c r="I36" s="19" t="s">
        <v>154</v>
      </c>
      <c r="J36" s="19" t="s">
        <v>52</v>
      </c>
    </row>
    <row r="37" spans="2:10" x14ac:dyDescent="0.35">
      <c r="B37" s="23" t="s">
        <v>77</v>
      </c>
      <c r="C37" s="8" t="s">
        <v>31</v>
      </c>
      <c r="D37" s="8" t="s">
        <v>42</v>
      </c>
      <c r="E37" s="8" t="s">
        <v>155</v>
      </c>
      <c r="F37" s="9" t="s">
        <v>102</v>
      </c>
      <c r="G37" s="9">
        <v>10</v>
      </c>
      <c r="H37" s="9" t="s">
        <v>32</v>
      </c>
      <c r="I37" s="10" t="s">
        <v>57</v>
      </c>
      <c r="J37" s="10" t="s">
        <v>58</v>
      </c>
    </row>
    <row r="38" spans="2:10" x14ac:dyDescent="0.35">
      <c r="B38" s="31" t="s">
        <v>79</v>
      </c>
      <c r="C38" s="1" t="s">
        <v>31</v>
      </c>
      <c r="D38" s="1" t="s">
        <v>42</v>
      </c>
      <c r="E38" s="1" t="s">
        <v>156</v>
      </c>
      <c r="F38" s="2" t="s">
        <v>103</v>
      </c>
      <c r="G38" s="2">
        <v>40</v>
      </c>
      <c r="H38" s="2"/>
      <c r="I38" s="3"/>
      <c r="J38" s="3"/>
    </row>
    <row r="39" spans="2:10" x14ac:dyDescent="0.35">
      <c r="B39" s="23" t="s">
        <v>80</v>
      </c>
      <c r="C39" s="8" t="s">
        <v>31</v>
      </c>
      <c r="D39" s="8" t="s">
        <v>42</v>
      </c>
      <c r="E39" s="8" t="s">
        <v>157</v>
      </c>
      <c r="F39" s="9" t="s">
        <v>103</v>
      </c>
      <c r="G39" s="9">
        <v>40</v>
      </c>
      <c r="H39" s="9"/>
      <c r="I39" s="10"/>
      <c r="J39" s="10"/>
    </row>
    <row r="40" spans="2:10" x14ac:dyDescent="0.35">
      <c r="B40" s="31" t="s">
        <v>83</v>
      </c>
      <c r="C40" s="1" t="s">
        <v>31</v>
      </c>
      <c r="D40" s="1" t="s">
        <v>42</v>
      </c>
      <c r="E40" s="1" t="s">
        <v>158</v>
      </c>
      <c r="F40" s="2" t="s">
        <v>103</v>
      </c>
      <c r="G40" s="2">
        <v>40</v>
      </c>
      <c r="H40" s="2"/>
      <c r="I40" s="3"/>
      <c r="J40" s="3"/>
    </row>
    <row r="41" spans="2:10" x14ac:dyDescent="0.35">
      <c r="B41" s="23" t="s">
        <v>85</v>
      </c>
      <c r="C41" s="8" t="s">
        <v>31</v>
      </c>
      <c r="D41" s="8" t="s">
        <v>42</v>
      </c>
      <c r="E41" s="8" t="s">
        <v>159</v>
      </c>
      <c r="F41" s="9" t="s">
        <v>103</v>
      </c>
      <c r="G41" s="9">
        <v>40</v>
      </c>
      <c r="H41" s="9"/>
      <c r="I41" s="10"/>
      <c r="J41" s="10"/>
    </row>
    <row r="42" spans="2:10" x14ac:dyDescent="0.35">
      <c r="B42" s="31" t="s">
        <v>89</v>
      </c>
      <c r="C42" s="1" t="s">
        <v>31</v>
      </c>
      <c r="D42" s="1" t="s">
        <v>42</v>
      </c>
      <c r="E42" s="34" t="s">
        <v>160</v>
      </c>
      <c r="F42" s="2" t="s">
        <v>103</v>
      </c>
      <c r="G42" s="2">
        <v>20</v>
      </c>
      <c r="H42" s="2"/>
      <c r="I42" s="3"/>
      <c r="J42" s="3"/>
    </row>
    <row r="43" spans="2:10" x14ac:dyDescent="0.35">
      <c r="B43" s="23" t="s">
        <v>93</v>
      </c>
      <c r="C43" s="8" t="s">
        <v>31</v>
      </c>
      <c r="D43" s="8" t="s">
        <v>42</v>
      </c>
      <c r="E43" s="35" t="s">
        <v>161</v>
      </c>
      <c r="F43" s="9" t="s">
        <v>103</v>
      </c>
      <c r="G43" s="9">
        <v>30</v>
      </c>
      <c r="H43" s="9"/>
      <c r="I43" s="10"/>
      <c r="J43" s="11"/>
    </row>
    <row r="44" spans="2:10" x14ac:dyDescent="0.35">
      <c r="B44" s="31" t="s">
        <v>162</v>
      </c>
      <c r="C44" s="1" t="s">
        <v>31</v>
      </c>
      <c r="D44" s="1" t="s">
        <v>42</v>
      </c>
      <c r="E44" s="25" t="s">
        <v>163</v>
      </c>
      <c r="F44" s="2" t="s">
        <v>103</v>
      </c>
      <c r="G44" s="2">
        <v>40</v>
      </c>
      <c r="H44" s="2"/>
      <c r="I44" s="3"/>
      <c r="J44" s="3"/>
    </row>
    <row r="45" spans="2:10" x14ac:dyDescent="0.35">
      <c r="B45" s="23" t="s">
        <v>164</v>
      </c>
      <c r="C45" s="8" t="s">
        <v>31</v>
      </c>
      <c r="D45" s="8" t="s">
        <v>42</v>
      </c>
      <c r="E45" s="24" t="s">
        <v>165</v>
      </c>
      <c r="F45" s="9" t="s">
        <v>103</v>
      </c>
      <c r="G45" s="9">
        <v>40</v>
      </c>
      <c r="H45" s="9"/>
      <c r="I45" s="10"/>
      <c r="J45" s="11"/>
    </row>
    <row r="46" spans="2:10" x14ac:dyDescent="0.35">
      <c r="B46" s="31" t="s">
        <v>166</v>
      </c>
      <c r="C46" s="1" t="s">
        <v>31</v>
      </c>
      <c r="D46" s="1" t="s">
        <v>42</v>
      </c>
      <c r="E46" s="12" t="s">
        <v>60</v>
      </c>
      <c r="F46" s="2" t="s">
        <v>102</v>
      </c>
      <c r="G46" s="2">
        <v>10</v>
      </c>
      <c r="H46" s="14" t="s">
        <v>32</v>
      </c>
      <c r="I46" s="1" t="s">
        <v>60</v>
      </c>
      <c r="J46" s="1" t="s">
        <v>61</v>
      </c>
    </row>
    <row r="47" spans="2:10" x14ac:dyDescent="0.35">
      <c r="B47" s="23" t="s">
        <v>167</v>
      </c>
      <c r="C47" s="8" t="s">
        <v>31</v>
      </c>
      <c r="D47" s="8" t="s">
        <v>42</v>
      </c>
      <c r="E47" s="15" t="s">
        <v>60</v>
      </c>
      <c r="F47" s="9" t="s">
        <v>103</v>
      </c>
      <c r="G47" s="9">
        <v>30</v>
      </c>
      <c r="H47" s="13"/>
      <c r="I47" s="8"/>
      <c r="J47" s="8"/>
    </row>
    <row r="48" spans="2:10" x14ac:dyDescent="0.35">
      <c r="B48" s="31" t="s">
        <v>168</v>
      </c>
      <c r="C48" s="1" t="s">
        <v>31</v>
      </c>
      <c r="D48" s="1" t="s">
        <v>42</v>
      </c>
      <c r="E48" s="12" t="s">
        <v>169</v>
      </c>
      <c r="F48" s="2" t="s">
        <v>103</v>
      </c>
      <c r="G48" s="2">
        <v>40</v>
      </c>
      <c r="H48" s="2"/>
      <c r="I48" s="3"/>
      <c r="J48" s="3"/>
    </row>
    <row r="49" spans="2:10" x14ac:dyDescent="0.35">
      <c r="B49" s="23" t="s">
        <v>170</v>
      </c>
      <c r="C49" s="8" t="s">
        <v>31</v>
      </c>
      <c r="D49" s="8" t="s">
        <v>42</v>
      </c>
      <c r="E49" s="15" t="s">
        <v>171</v>
      </c>
      <c r="F49" s="9" t="s">
        <v>103</v>
      </c>
      <c r="G49" s="9">
        <v>60</v>
      </c>
      <c r="H49" s="9"/>
      <c r="I49" s="10"/>
      <c r="J49" s="11"/>
    </row>
    <row r="50" spans="2:10" x14ac:dyDescent="0.35">
      <c r="B50" s="31" t="s">
        <v>172</v>
      </c>
      <c r="C50" s="1" t="s">
        <v>31</v>
      </c>
      <c r="D50" s="1" t="s">
        <v>42</v>
      </c>
      <c r="E50" s="12" t="s">
        <v>173</v>
      </c>
      <c r="F50" s="2" t="s">
        <v>103</v>
      </c>
      <c r="G50" s="2">
        <v>20</v>
      </c>
      <c r="H50" s="14" t="s">
        <v>32</v>
      </c>
      <c r="I50" s="1" t="s">
        <v>174</v>
      </c>
      <c r="J50" s="1" t="s">
        <v>63</v>
      </c>
    </row>
    <row r="51" spans="2:10" x14ac:dyDescent="0.35">
      <c r="B51" s="23" t="s">
        <v>175</v>
      </c>
      <c r="C51" s="8" t="s">
        <v>65</v>
      </c>
      <c r="D51" s="8" t="s">
        <v>176</v>
      </c>
      <c r="E51" s="15" t="s">
        <v>177</v>
      </c>
      <c r="F51" s="9" t="s">
        <v>103</v>
      </c>
      <c r="G51" s="9">
        <v>30</v>
      </c>
      <c r="H51" s="13" t="s">
        <v>32</v>
      </c>
      <c r="I51" s="8" t="s">
        <v>178</v>
      </c>
      <c r="J51" s="8" t="s">
        <v>28</v>
      </c>
    </row>
    <row r="52" spans="2:10" x14ac:dyDescent="0.35">
      <c r="B52" s="31" t="s">
        <v>179</v>
      </c>
      <c r="C52" s="1" t="s">
        <v>65</v>
      </c>
      <c r="D52" s="1" t="s">
        <v>176</v>
      </c>
      <c r="E52" s="1" t="s">
        <v>180</v>
      </c>
      <c r="F52" s="2" t="s">
        <v>103</v>
      </c>
      <c r="G52" s="2">
        <v>30</v>
      </c>
      <c r="H52" s="2" t="s">
        <v>32</v>
      </c>
      <c r="I52" s="3" t="s">
        <v>67</v>
      </c>
      <c r="J52" s="3" t="s">
        <v>28</v>
      </c>
    </row>
    <row r="53" spans="2:10" x14ac:dyDescent="0.35">
      <c r="B53" s="23" t="s">
        <v>181</v>
      </c>
      <c r="C53" s="8" t="s">
        <v>65</v>
      </c>
      <c r="D53" s="8" t="s">
        <v>176</v>
      </c>
      <c r="E53" s="8" t="s">
        <v>182</v>
      </c>
      <c r="F53" s="9" t="s">
        <v>102</v>
      </c>
      <c r="G53" s="9">
        <v>40</v>
      </c>
      <c r="H53" s="9" t="s">
        <v>32</v>
      </c>
      <c r="I53" s="10" t="s">
        <v>69</v>
      </c>
      <c r="J53" s="10" t="s">
        <v>70</v>
      </c>
    </row>
    <row r="54" spans="2:10" x14ac:dyDescent="0.35">
      <c r="B54" s="31" t="s">
        <v>183</v>
      </c>
      <c r="C54" s="1" t="s">
        <v>65</v>
      </c>
      <c r="D54" s="1" t="s">
        <v>176</v>
      </c>
      <c r="E54" s="1" t="s">
        <v>184</v>
      </c>
      <c r="F54" s="2" t="s">
        <v>103</v>
      </c>
      <c r="G54" s="2">
        <v>40</v>
      </c>
      <c r="H54" s="2" t="s">
        <v>32</v>
      </c>
      <c r="I54" s="3" t="s">
        <v>72</v>
      </c>
      <c r="J54" s="3" t="s">
        <v>28</v>
      </c>
    </row>
    <row r="55" spans="2:10" x14ac:dyDescent="0.35">
      <c r="B55" s="23" t="s">
        <v>185</v>
      </c>
      <c r="C55" s="8" t="s">
        <v>186</v>
      </c>
      <c r="D55" s="8" t="s">
        <v>187</v>
      </c>
      <c r="E55" s="8" t="s">
        <v>188</v>
      </c>
      <c r="F55" s="9" t="s">
        <v>103</v>
      </c>
      <c r="G55" s="9">
        <v>40</v>
      </c>
      <c r="H55" s="9" t="s">
        <v>32</v>
      </c>
      <c r="I55" s="10" t="s">
        <v>74</v>
      </c>
      <c r="J55" s="10" t="s">
        <v>75</v>
      </c>
    </row>
    <row r="56" spans="2:10" x14ac:dyDescent="0.35">
      <c r="B56" s="31" t="s">
        <v>189</v>
      </c>
      <c r="C56" s="1" t="s">
        <v>186</v>
      </c>
      <c r="D56" s="1" t="s">
        <v>187</v>
      </c>
      <c r="E56" s="1" t="s">
        <v>190</v>
      </c>
      <c r="F56" s="2" t="s">
        <v>103</v>
      </c>
      <c r="G56" s="2">
        <v>30</v>
      </c>
      <c r="H56" s="2" t="s">
        <v>32</v>
      </c>
      <c r="I56" s="3" t="s">
        <v>190</v>
      </c>
      <c r="J56" s="3" t="s">
        <v>75</v>
      </c>
    </row>
    <row r="57" spans="2:10" x14ac:dyDescent="0.35">
      <c r="B57" s="23" t="s">
        <v>191</v>
      </c>
      <c r="C57" s="8" t="s">
        <v>186</v>
      </c>
      <c r="D57" s="8" t="s">
        <v>187</v>
      </c>
      <c r="E57" s="8" t="s">
        <v>78</v>
      </c>
      <c r="F57" s="9" t="s">
        <v>103</v>
      </c>
      <c r="G57" s="9">
        <v>30</v>
      </c>
      <c r="H57" s="9" t="s">
        <v>32</v>
      </c>
      <c r="I57" s="10" t="s">
        <v>78</v>
      </c>
      <c r="J57" s="10" t="s">
        <v>75</v>
      </c>
    </row>
    <row r="58" spans="2:10" x14ac:dyDescent="0.35">
      <c r="B58" s="31" t="s">
        <v>192</v>
      </c>
      <c r="C58" s="1" t="s">
        <v>186</v>
      </c>
      <c r="D58" s="1" t="s">
        <v>187</v>
      </c>
      <c r="E58" s="1" t="s">
        <v>193</v>
      </c>
      <c r="F58" s="2" t="s">
        <v>103</v>
      </c>
      <c r="G58" s="2">
        <v>60</v>
      </c>
      <c r="H58" s="2" t="s">
        <v>194</v>
      </c>
      <c r="I58" s="3" t="s">
        <v>195</v>
      </c>
      <c r="J58" s="3" t="s">
        <v>75</v>
      </c>
    </row>
    <row r="59" spans="2:10" x14ac:dyDescent="0.35">
      <c r="B59" s="23" t="s">
        <v>196</v>
      </c>
      <c r="C59" s="20" t="s">
        <v>186</v>
      </c>
      <c r="D59" s="20" t="s">
        <v>187</v>
      </c>
      <c r="E59" s="20" t="s">
        <v>197</v>
      </c>
      <c r="F59" s="21" t="s">
        <v>103</v>
      </c>
      <c r="G59" s="21">
        <v>60</v>
      </c>
      <c r="H59" s="21" t="s">
        <v>81</v>
      </c>
      <c r="I59" s="22" t="s">
        <v>82</v>
      </c>
      <c r="J59" s="22" t="s">
        <v>75</v>
      </c>
    </row>
    <row r="60" spans="2:10" x14ac:dyDescent="0.35">
      <c r="B60" s="31" t="s">
        <v>198</v>
      </c>
      <c r="C60" s="1" t="s">
        <v>5</v>
      </c>
      <c r="D60" s="1" t="s">
        <v>5</v>
      </c>
      <c r="E60" s="1" t="s">
        <v>199</v>
      </c>
      <c r="F60" s="2" t="s">
        <v>103</v>
      </c>
      <c r="G60" s="2">
        <v>40</v>
      </c>
      <c r="H60" s="2" t="s">
        <v>32</v>
      </c>
      <c r="I60" s="3" t="s">
        <v>84</v>
      </c>
      <c r="J60" s="3" t="s">
        <v>28</v>
      </c>
    </row>
    <row r="61" spans="2:10" x14ac:dyDescent="0.35">
      <c r="B61" s="23" t="s">
        <v>200</v>
      </c>
      <c r="C61" s="8" t="s">
        <v>5</v>
      </c>
      <c r="D61" s="8" t="s">
        <v>86</v>
      </c>
      <c r="E61" s="8" t="s">
        <v>201</v>
      </c>
      <c r="F61" s="9" t="s">
        <v>102</v>
      </c>
      <c r="G61" s="9">
        <v>120</v>
      </c>
      <c r="H61" s="9" t="s">
        <v>86</v>
      </c>
      <c r="I61" s="10" t="s">
        <v>87</v>
      </c>
      <c r="J61" s="10" t="s">
        <v>88</v>
      </c>
    </row>
    <row r="62" spans="2:10" x14ac:dyDescent="0.35">
      <c r="B62" s="31" t="s">
        <v>202</v>
      </c>
      <c r="C62" s="1" t="s">
        <v>5</v>
      </c>
      <c r="D62" s="1" t="s">
        <v>86</v>
      </c>
      <c r="E62" s="1" t="s">
        <v>201</v>
      </c>
      <c r="F62" s="2" t="s">
        <v>103</v>
      </c>
      <c r="G62" s="2">
        <v>120</v>
      </c>
      <c r="H62" s="2"/>
      <c r="I62" s="3"/>
      <c r="J62" s="3"/>
    </row>
    <row r="63" spans="2:10" x14ac:dyDescent="0.35">
      <c r="B63" s="23" t="s">
        <v>203</v>
      </c>
      <c r="C63" s="8" t="s">
        <v>5</v>
      </c>
      <c r="D63" s="8" t="s">
        <v>204</v>
      </c>
      <c r="E63" s="8" t="s">
        <v>205</v>
      </c>
      <c r="F63" s="9" t="s">
        <v>103</v>
      </c>
      <c r="G63" s="9">
        <v>60</v>
      </c>
      <c r="H63" s="9" t="s">
        <v>90</v>
      </c>
      <c r="I63" s="10" t="s">
        <v>91</v>
      </c>
      <c r="J63" s="10" t="s">
        <v>92</v>
      </c>
    </row>
    <row r="64" spans="2:10" x14ac:dyDescent="0.35">
      <c r="B64" s="31"/>
      <c r="C64" s="1"/>
      <c r="D64" s="1"/>
      <c r="E64" s="1"/>
      <c r="F64" s="2"/>
      <c r="G64" s="2"/>
      <c r="H64" s="2" t="s">
        <v>94</v>
      </c>
      <c r="I64" s="3" t="s">
        <v>95</v>
      </c>
      <c r="J64" s="3" t="s">
        <v>96</v>
      </c>
    </row>
    <row r="65" spans="3:7" ht="14.5" customHeight="1" x14ac:dyDescent="0.35">
      <c r="C65" s="1"/>
      <c r="D65" s="32" t="s">
        <v>206</v>
      </c>
      <c r="E65" t="s">
        <v>207</v>
      </c>
      <c r="F65" t="s">
        <v>208</v>
      </c>
      <c r="G65">
        <f>SUMIF(F3:F64,"*Back*",G3:G64)</f>
        <v>1630</v>
      </c>
    </row>
    <row r="66" spans="3:7" ht="14.5" customHeight="1" x14ac:dyDescent="0.35">
      <c r="C66" s="1"/>
      <c r="D66" s="32" t="s">
        <v>209</v>
      </c>
      <c r="F66" t="s">
        <v>210</v>
      </c>
      <c r="G66">
        <f>SUMIF(F3:F64,"*Front*",G3:G64)</f>
        <v>650</v>
      </c>
    </row>
    <row r="67" spans="3:7" ht="14.5" customHeight="1" x14ac:dyDescent="0.35">
      <c r="C67" s="1"/>
      <c r="D67" s="32" t="s">
        <v>211</v>
      </c>
      <c r="F67" s="7" t="s">
        <v>212</v>
      </c>
      <c r="G67" s="23">
        <f>SUM(G3:G64)</f>
        <v>2280</v>
      </c>
    </row>
    <row r="68" spans="3:7" x14ac:dyDescent="0.35">
      <c r="D68" s="33" t="s">
        <v>213</v>
      </c>
    </row>
    <row r="69" spans="3:7" x14ac:dyDescent="0.35">
      <c r="C69" t="s">
        <v>214</v>
      </c>
      <c r="D69" s="33" t="s">
        <v>215</v>
      </c>
    </row>
    <row r="70" spans="3:7" x14ac:dyDescent="0.35">
      <c r="C70" t="s">
        <v>216</v>
      </c>
      <c r="D70" s="33" t="s">
        <v>217</v>
      </c>
      <c r="E70" t="s">
        <v>218</v>
      </c>
    </row>
    <row r="71" spans="3:7" x14ac:dyDescent="0.35">
      <c r="D71" s="33" t="s">
        <v>219</v>
      </c>
      <c r="E71" t="s">
        <v>220</v>
      </c>
    </row>
    <row r="72" spans="3:7" x14ac:dyDescent="0.35">
      <c r="D72" s="33" t="s">
        <v>221</v>
      </c>
      <c r="E72" t="s">
        <v>222</v>
      </c>
    </row>
    <row r="73" spans="3:7" x14ac:dyDescent="0.35">
      <c r="C73" s="26" t="s">
        <v>223</v>
      </c>
      <c r="D73" s="36" t="s">
        <v>224</v>
      </c>
      <c r="E73" s="36" t="s">
        <v>225</v>
      </c>
      <c r="F73" s="38"/>
    </row>
    <row r="74" spans="3:7" ht="14.5" customHeight="1" x14ac:dyDescent="0.35">
      <c r="D74" s="37"/>
      <c r="E74" s="37" t="s">
        <v>226</v>
      </c>
      <c r="F74" s="38"/>
    </row>
    <row r="75" spans="3:7" ht="14.5" customHeight="1" x14ac:dyDescent="0.35">
      <c r="D75" s="37"/>
      <c r="E75" s="37" t="s">
        <v>227</v>
      </c>
      <c r="F75" s="38"/>
    </row>
    <row r="76" spans="3:7" ht="14.5" customHeight="1" x14ac:dyDescent="0.35">
      <c r="D76" s="37"/>
      <c r="E76" s="37" t="s">
        <v>228</v>
      </c>
      <c r="F76" s="38"/>
    </row>
    <row r="77" spans="3:7" ht="14.5" customHeight="1" x14ac:dyDescent="0.35">
      <c r="D77" s="37"/>
      <c r="E77" s="37" t="s">
        <v>229</v>
      </c>
      <c r="F77" s="38"/>
    </row>
    <row r="78" spans="3:7" ht="14.5" customHeight="1" x14ac:dyDescent="0.35">
      <c r="D78" s="37"/>
      <c r="E78" s="37" t="s">
        <v>230</v>
      </c>
      <c r="F78" s="38"/>
    </row>
    <row r="79" spans="3:7" ht="14.5" customHeight="1" x14ac:dyDescent="0.35">
      <c r="D79" s="37"/>
      <c r="E79" s="37" t="s">
        <v>231</v>
      </c>
      <c r="F79" s="38"/>
    </row>
    <row r="80" spans="3:7" ht="14.5" customHeight="1" x14ac:dyDescent="0.35">
      <c r="D80" s="37"/>
      <c r="E80" s="37" t="s">
        <v>60</v>
      </c>
      <c r="F80" s="38"/>
    </row>
    <row r="81" spans="4:6" ht="14.5" customHeight="1" x14ac:dyDescent="0.35">
      <c r="D81" s="37"/>
      <c r="E81" s="37" t="s">
        <v>232</v>
      </c>
      <c r="F81" s="38"/>
    </row>
    <row r="82" spans="4:6" x14ac:dyDescent="0.35">
      <c r="D82" s="37"/>
      <c r="E82" s="37" t="s">
        <v>233</v>
      </c>
    </row>
    <row r="83" spans="4:6" x14ac:dyDescent="0.35">
      <c r="E83" t="s">
        <v>234</v>
      </c>
      <c r="F83" t="s">
        <v>235</v>
      </c>
    </row>
    <row r="84" spans="4:6" x14ac:dyDescent="0.35">
      <c r="F84" t="s">
        <v>236</v>
      </c>
    </row>
    <row r="85" spans="4:6" x14ac:dyDescent="0.35">
      <c r="F85" t="s">
        <v>237</v>
      </c>
    </row>
    <row r="86" spans="4:6" x14ac:dyDescent="0.35">
      <c r="F86" t="s">
        <v>238</v>
      </c>
    </row>
    <row r="87" spans="4:6" x14ac:dyDescent="0.35">
      <c r="F87" t="s">
        <v>239</v>
      </c>
    </row>
    <row r="88" spans="4:6" x14ac:dyDescent="0.35">
      <c r="F88" t="s">
        <v>240</v>
      </c>
    </row>
    <row r="89" spans="4:6" x14ac:dyDescent="0.35">
      <c r="F89" t="s">
        <v>241</v>
      </c>
    </row>
    <row r="90" spans="4:6" x14ac:dyDescent="0.35">
      <c r="F90" t="s">
        <v>242</v>
      </c>
    </row>
    <row r="91" spans="4:6" x14ac:dyDescent="0.35">
      <c r="E91" t="s">
        <v>243</v>
      </c>
      <c r="F91" t="s">
        <v>240</v>
      </c>
    </row>
    <row r="92" spans="4:6" x14ac:dyDescent="0.35">
      <c r="F92" t="s">
        <v>241</v>
      </c>
    </row>
    <row r="93" spans="4:6" x14ac:dyDescent="0.35">
      <c r="F93" t="s">
        <v>244</v>
      </c>
    </row>
    <row r="94" spans="4:6" x14ac:dyDescent="0.35">
      <c r="F94" s="27" t="s">
        <v>245</v>
      </c>
    </row>
    <row r="95" spans="4:6" x14ac:dyDescent="0.35">
      <c r="F95" t="s">
        <v>246</v>
      </c>
    </row>
    <row r="96" spans="4:6" x14ac:dyDescent="0.35">
      <c r="F96" t="s">
        <v>247</v>
      </c>
    </row>
    <row r="97" spans="4:6" x14ac:dyDescent="0.35">
      <c r="F97" s="27" t="s">
        <v>242</v>
      </c>
    </row>
    <row r="98" spans="4:6" x14ac:dyDescent="0.35">
      <c r="F98" s="27" t="s">
        <v>248</v>
      </c>
    </row>
    <row r="99" spans="4:6" x14ac:dyDescent="0.35">
      <c r="F99" s="27" t="s">
        <v>249</v>
      </c>
    </row>
    <row r="100" spans="4:6" x14ac:dyDescent="0.35">
      <c r="F100" s="27" t="s">
        <v>250</v>
      </c>
    </row>
    <row r="101" spans="4:6" x14ac:dyDescent="0.35">
      <c r="D101" t="s">
        <v>251</v>
      </c>
      <c r="E101" s="28" t="s">
        <v>252</v>
      </c>
    </row>
    <row r="102" spans="4:6" x14ac:dyDescent="0.35">
      <c r="E102" s="28" t="s">
        <v>253</v>
      </c>
    </row>
    <row r="104" spans="4:6" x14ac:dyDescent="0.35">
      <c r="E104" s="29" t="s">
        <v>254</v>
      </c>
    </row>
    <row r="105" spans="4:6" ht="25" x14ac:dyDescent="0.35">
      <c r="E105" s="30" t="s">
        <v>255</v>
      </c>
    </row>
    <row r="106" spans="4:6" x14ac:dyDescent="0.35">
      <c r="E106" s="30" t="s">
        <v>256</v>
      </c>
    </row>
    <row r="107" spans="4:6" x14ac:dyDescent="0.35">
      <c r="E107" s="30" t="s">
        <v>257</v>
      </c>
    </row>
    <row r="108" spans="4:6" ht="25" x14ac:dyDescent="0.35">
      <c r="E108" s="30" t="s">
        <v>258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documento xmlns="33071b88-ee77-42fc-8174-092237df9007" xsi:nil="true"/>
    <lcf76f155ced4ddcb4097134ff3c332f xmlns="33071b88-ee77-42fc-8174-092237df90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8C2BDE8249284886452B9A50F07B8C" ma:contentTypeVersion="29" ma:contentTypeDescription="Crear nuevo documento." ma:contentTypeScope="" ma:versionID="42314b2b091967030f5098afc37979dc">
  <xsd:schema xmlns:xsd="http://www.w3.org/2001/XMLSchema" xmlns:xs="http://www.w3.org/2001/XMLSchema" xmlns:p="http://schemas.microsoft.com/office/2006/metadata/properties" xmlns:ns2="33071b88-ee77-42fc-8174-092237df9007" xmlns:ns3="c69206b6-e894-435c-a2f1-90bedcf48754" targetNamespace="http://schemas.microsoft.com/office/2006/metadata/properties" ma:root="true" ma:fieldsID="11776dfb5e73a3e9b9e714283e0d76f8" ns2:_="" ns3:_="">
    <xsd:import namespace="33071b88-ee77-42fc-8174-092237df9007"/>
    <xsd:import namespace="c69206b6-e894-435c-a2f1-90bedcf487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Tipodocumento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71b88-ee77-42fc-8174-092237df9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podocumento" ma:index="22" nillable="true" ma:displayName="Tipo documento" ma:description="Clasificar para facilitar las búsquedas. Sobre todo, las ofertas técnicas que sean tipo &quot;Oferta&quot;." ma:format="Dropdown" ma:indexed="true" ma:internalName="Tipodocumento">
      <xsd:simpleType>
        <xsd:restriction base="dms:Choice">
          <xsd:enumeration value="Oferta"/>
          <xsd:enumeration value="Pliego"/>
          <xsd:enumeration value="CV"/>
          <xsd:enumeration value="Apoyo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831c2ce8-7846-47e3-bce0-cbc07d5ede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206b6-e894-435c-a2f1-90bedcf4875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A9D385-08B8-4AC6-9484-D073A2123DA5}">
  <ds:schemaRefs>
    <ds:schemaRef ds:uri="http://schemas.microsoft.com/office/2006/metadata/properties"/>
    <ds:schemaRef ds:uri="http://schemas.microsoft.com/office/infopath/2007/PartnerControls"/>
    <ds:schemaRef ds:uri="33071b88-ee77-42fc-8174-092237df9007"/>
  </ds:schemaRefs>
</ds:datastoreItem>
</file>

<file path=customXml/itemProps2.xml><?xml version="1.0" encoding="utf-8"?>
<ds:datastoreItem xmlns:ds="http://schemas.openxmlformats.org/officeDocument/2006/customXml" ds:itemID="{8A556624-F2CF-4A04-A654-68AB04B80E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27C7E3-9AC4-4CF8-8991-21856A19D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71b88-ee77-42fc-8174-092237df9007"/>
    <ds:schemaRef ds:uri="c69206b6-e894-435c-a2f1-90bedcf487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Tareas V2 refinadas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Alvarez Diaz</cp:lastModifiedBy>
  <cp:revision/>
  <dcterms:created xsi:type="dcterms:W3CDTF">2026-02-10T18:51:59Z</dcterms:created>
  <dcterms:modified xsi:type="dcterms:W3CDTF">2026-03-04T13:01:45Z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0x0101003E8C2BDE8249284886452B9A50F07B8C</vt:lpwstr>
  </property>
</Properties>
</file>