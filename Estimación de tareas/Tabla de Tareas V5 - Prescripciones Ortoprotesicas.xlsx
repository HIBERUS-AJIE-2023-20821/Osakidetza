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AlvarezDiaz\Documents\EJIE\Repo OSAKIDETZA\Osakidetza\Estimación de tareas\"/>
    </mc:Choice>
  </mc:AlternateContent>
  <xr:revisionPtr revIDLastSave="0" documentId="13_ncr:1_{87BD1EC4-B42E-495D-B696-57F4A7E74DD6}" xr6:coauthVersionLast="47" xr6:coauthVersionMax="47" xr10:uidLastSave="{00000000-0000-0000-0000-000000000000}"/>
  <bookViews>
    <workbookView xWindow="28680" yWindow="-120" windowWidth="29040" windowHeight="15720" xr2:uid="{C79E780C-2726-4F58-839C-D4F82C14C70B}"/>
  </bookViews>
  <sheets>
    <sheet name="Tareas V5" sheetId="1" r:id="rId1"/>
    <sheet name="Resumen" sheetId="2" r:id="rId2"/>
    <sheet name="Planificación" sheetId="19" r:id="rId3"/>
    <sheet name="Cronograma" sheetId="21" r:id="rId4"/>
  </sheets>
  <definedNames>
    <definedName name="_xlnm._FilterDatabase" localSheetId="0" hidden="1">'Tareas V5'!$A$1:$J$103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1" l="1"/>
  <c r="M14" i="21"/>
  <c r="L14" i="21"/>
  <c r="K14" i="21"/>
  <c r="J14" i="21"/>
  <c r="I14" i="21"/>
  <c r="H14" i="21"/>
  <c r="G14" i="21"/>
  <c r="F14" i="21"/>
  <c r="E14" i="21"/>
  <c r="D14" i="21"/>
  <c r="C14" i="21"/>
  <c r="N12" i="21"/>
  <c r="N11" i="21"/>
  <c r="N10" i="21"/>
  <c r="N9" i="21"/>
  <c r="N8" i="21"/>
  <c r="N7" i="21"/>
  <c r="N6" i="21"/>
  <c r="N5" i="21"/>
</calcChain>
</file>

<file path=xl/sharedStrings.xml><?xml version="1.0" encoding="utf-8"?>
<sst xmlns="http://schemas.openxmlformats.org/spreadsheetml/2006/main" count="912" uniqueCount="531">
  <si>
    <t>#</t>
  </si>
  <si>
    <t>Módulo</t>
  </si>
  <si>
    <t>Submódulo</t>
  </si>
  <si>
    <t>Caso de uso</t>
  </si>
  <si>
    <t>Tarea</t>
  </si>
  <si>
    <t>Front/Back</t>
  </si>
  <si>
    <t>Ref. Excel</t>
  </si>
  <si>
    <t>Horas Excel</t>
  </si>
  <si>
    <t>Horas Estimadas</t>
  </si>
  <si>
    <t>Comentario</t>
  </si>
  <si>
    <t>AUTH</t>
  </si>
  <si>
    <t>Login Osabide Global</t>
  </si>
  <si>
    <t>Autenticación</t>
  </si>
  <si>
    <t>Login a través de Osabide Global pasando token: recepción de token, validación de contexto profesional, carga de permisos</t>
  </si>
  <si>
    <t>Front</t>
  </si>
  <si>
    <t>T-004</t>
  </si>
  <si>
    <t>Integración con Osabide Global; API de token no documentada</t>
  </si>
  <si>
    <t>Validación de token de Osabide Global: verificación del contexto (centro, ámbito, servicio, paciente) en back</t>
  </si>
  <si>
    <t>Back</t>
  </si>
  <si>
    <t>Nueva. Complemento back de T-004; formato de token desconocido</t>
  </si>
  <si>
    <t>Login externo</t>
  </si>
  <si>
    <t>Pantalla de login externo con credenciales LDAP/AD</t>
  </si>
  <si>
    <t>T-005</t>
  </si>
  <si>
    <t>Sistema de login externo: autenticación contra LDAP/AD</t>
  </si>
  <si>
    <t>T-006</t>
  </si>
  <si>
    <t>Configuración LDAP/AD de Osakidetza desconocida</t>
  </si>
  <si>
    <t>Roles y permisos</t>
  </si>
  <si>
    <t>Gestión de roles</t>
  </si>
  <si>
    <t>Pantalla de gestión de roles y permisos de facultativos</t>
  </si>
  <si>
    <t>Nueva. Sujeta a resolución de P-01</t>
  </si>
  <si>
    <t>APIs CRUD de gestión de roles y permisos</t>
  </si>
  <si>
    <t>Cambio de rol</t>
  </si>
  <si>
    <t>Cambio de rol activo en sesión si el usuario tiene varios roles</t>
  </si>
  <si>
    <t>Nueva</t>
  </si>
  <si>
    <t>Lógica de cambio de rol activo: recarga de permisos y contexto</t>
  </si>
  <si>
    <t>Modo acceso</t>
  </si>
  <si>
    <t>Modo con/sin paciente</t>
  </si>
  <si>
    <t>Lógica para admitir acceso con paciente asociado (cita activa) y sin paciente (gestión propia del facultativo)</t>
  </si>
  <si>
    <t>Nueva. Diferenciación de modos según contexto de acceso</t>
  </si>
  <si>
    <t>Adaptación de interfaz según modo de acceso (con paciente: preselecciona paciente; sin paciente: muestra todas las prescripciones del facultativo)</t>
  </si>
  <si>
    <t>CATÁLOGO</t>
  </si>
  <si>
    <t>BBDD</t>
  </si>
  <si>
    <t>Diseño BBDD</t>
  </si>
  <si>
    <t>Diseño de base de datos del catálogo: campos del nomenclátor del Departamento + campos propios de Osakidetza</t>
  </si>
  <si>
    <t>T-007</t>
  </si>
  <si>
    <t>Creación y pruebas de base de datos del catálogo</t>
  </si>
  <si>
    <t>T-008</t>
  </si>
  <si>
    <t>Gobierno de edición</t>
  </si>
  <si>
    <t>Definición y desarrollo de campos propios de Osakidetza (activo sí/no, favoritos por facultativo, campos adicionales)</t>
  </si>
  <si>
    <t>Nueva. Capa de campos propios no cubierta en T-007/T-008</t>
  </si>
  <si>
    <t>Sincronización</t>
  </si>
  <si>
    <t>Carga masiva</t>
  </si>
  <si>
    <t>Proceso de carga/recarga masiva del catálogo desde nomenclátor del Departamento (batch periódico, ~1.000 productos)</t>
  </si>
  <si>
    <t>T-009</t>
  </si>
  <si>
    <t>Integración con nomenclátor del Departamento desconocida; formato y protocolo por definir</t>
  </si>
  <si>
    <t>Carga bajo demanda</t>
  </si>
  <si>
    <t>Ejecución manual del proceso de sincronización fuera de ciclo</t>
  </si>
  <si>
    <t>T-010</t>
  </si>
  <si>
    <t>Réplica y failover</t>
  </si>
  <si>
    <t>Réplica operativa 24x7 del nomenclátor en Osakidetza: mecanismo de failover si la sincronización falla</t>
  </si>
  <si>
    <t>Nueva. Infraestructura de Osakidetza desconocida; alta incertidumbre</t>
  </si>
  <si>
    <t>Gestión catálogo</t>
  </si>
  <si>
    <t>Pantalla gestión</t>
  </si>
  <si>
    <t>Pantalla de gestión/administración del catálogo: listado con filtros, ficha de producto editable (campos Osakidetza), activar/desactivar productos</t>
  </si>
  <si>
    <t>T-011</t>
  </si>
  <si>
    <t>APIs catálogo</t>
  </si>
  <si>
    <t>APIs CRUD de gestión del catálogo</t>
  </si>
  <si>
    <t>T-012</t>
  </si>
  <si>
    <t>Búsqueda</t>
  </si>
  <si>
    <t>Pantalla búsqueda</t>
  </si>
  <si>
    <t>Pantalla/diálogo de búsqueda de catálogo de productos, con filtros y acceso al detalle</t>
  </si>
  <si>
    <t>T-013</t>
  </si>
  <si>
    <t>Filtro por tipo</t>
  </si>
  <si>
    <t>Filtro de productos por tipo</t>
  </si>
  <si>
    <t>T-014</t>
  </si>
  <si>
    <t>Filtro por familia</t>
  </si>
  <si>
    <t>Filtro de producto por familia (grupo &gt; subgrupo &gt; categoría)</t>
  </si>
  <si>
    <t>T-015</t>
  </si>
  <si>
    <t>Filtro por código</t>
  </si>
  <si>
    <t>Filtro de producto por código</t>
  </si>
  <si>
    <t>T-016</t>
  </si>
  <si>
    <t>Filtro por descripción</t>
  </si>
  <si>
    <t>Filtro de producto por descripción (texto libre)</t>
  </si>
  <si>
    <t>Selección</t>
  </si>
  <si>
    <t>Pantalla selección</t>
  </si>
  <si>
    <t>Pantalla de selección de productos dentro de la prescripción: favoritos primero + productos similares</t>
  </si>
  <si>
    <t>T-017</t>
  </si>
  <si>
    <t>Productos no disponibles</t>
  </si>
  <si>
    <t>Mostrar todos los productos del catálogo, incluso los que el facultativo no puede prescribir (aparecen como no disponibles, RN-13)</t>
  </si>
  <si>
    <t>Validación back: marcar productos como no disponibles según permisos del facultativo</t>
  </si>
  <si>
    <t>Favoritos</t>
  </si>
  <si>
    <t>Pantalla favoritos</t>
  </si>
  <si>
    <t>Pantalla de gestión de favoritos del facultativo</t>
  </si>
  <si>
    <t>T-018</t>
  </si>
  <si>
    <t>Sistema favoritos</t>
  </si>
  <si>
    <t>Sistema de gestión de favoritos: almacenamiento en BBDD de Osakidetza, marcado por el facultativo desde la prescripción</t>
  </si>
  <si>
    <t>T-019</t>
  </si>
  <si>
    <t>PRESCRIPCIÓN</t>
  </si>
  <si>
    <t>Diseño de base de datos de prescripciones (prescripción, materiales, estados, histórico, adjuntos)</t>
  </si>
  <si>
    <t>T-020</t>
  </si>
  <si>
    <t>Modelo de datos complejo; incluye separación prescripción-material</t>
  </si>
  <si>
    <t>Creación y pruebas de BD de prescripciones</t>
  </si>
  <si>
    <t>T-021</t>
  </si>
  <si>
    <t>Listado</t>
  </si>
  <si>
    <t>Pantalla listado</t>
  </si>
  <si>
    <t>Pantalla de consulta/listado de prescripciones con filtros (por paciente, facultativo, estado, fecha, OSI, tipo producto)</t>
  </si>
  <si>
    <t>T-022</t>
  </si>
  <si>
    <t>APIs búsqueda</t>
  </si>
  <si>
    <t>APIs de búsqueda/consulta de prescripciones con filtros</t>
  </si>
  <si>
    <t>T-023</t>
  </si>
  <si>
    <t>Filtros complejos; rendimiento con volumen de datos por validar</t>
  </si>
  <si>
    <t>Indicador visual</t>
  </si>
  <si>
    <t>Indicador visual de estado de dispensación en el listado (icono/color + columna de estado textual)</t>
  </si>
  <si>
    <t>Detalle</t>
  </si>
  <si>
    <t>API detalle</t>
  </si>
  <si>
    <t>API consulta detalles de una prescripción</t>
  </si>
  <si>
    <t>T-024</t>
  </si>
  <si>
    <t>Pantalla detalle</t>
  </si>
  <si>
    <t>Pantalla de consulta de detalle de prescripción (modo lectura, datos completos, estado de cada material)</t>
  </si>
  <si>
    <t>T-025</t>
  </si>
  <si>
    <t>Histórico</t>
  </si>
  <si>
    <t>Pantalla de histórico de la prescripción: acciones realizadas, cambios de estado, fechas</t>
  </si>
  <si>
    <t>API/servicio de histórico/auditoría de la prescripción</t>
  </si>
  <si>
    <t>Documentos adjuntos</t>
  </si>
  <si>
    <t>Visualización y descarga de documentos adjuntos (informe clínico, CSV firmado)</t>
  </si>
  <si>
    <t>Creación</t>
  </si>
  <si>
    <t>Pantalla creación</t>
  </si>
  <si>
    <t>Pantalla de creación de prescripción con cabecera precargada (datos paciente + datos facultativo)</t>
  </si>
  <si>
    <t>T-026</t>
  </si>
  <si>
    <t>Recuperar info facultativo</t>
  </si>
  <si>
    <t>Recuperar información del facultativo desde contexto Osabide Global o directorio corporativo (nº colegiado, especialidad, centro, servicio)</t>
  </si>
  <si>
    <t>T-027</t>
  </si>
  <si>
    <t>API origen desconocida (Osabide Global / SAP RRHH); alta incertidumbre</t>
  </si>
  <si>
    <t>Recuperar info paciente</t>
  </si>
  <si>
    <t>Recuperar información del paciente desde Osategi vía CIC (TIS, CIP, nombre, sexo, nacimiento, domicilio)</t>
  </si>
  <si>
    <t>T-028</t>
  </si>
  <si>
    <t>Servicio web Osategi desconocido; alta incertidumbre</t>
  </si>
  <si>
    <t>Añadir materiales</t>
  </si>
  <si>
    <t>Añadir materiales/productos a la prescripción desde el buscador de catálogo</t>
  </si>
  <si>
    <t>T-029</t>
  </si>
  <si>
    <t>Visado obligar informe</t>
  </si>
  <si>
    <t>Si el producto requiere visado, obligar a adjuntar informe clínico (RN-02)</t>
  </si>
  <si>
    <t>T-030</t>
  </si>
  <si>
    <t>Catálogo indicadores</t>
  </si>
  <si>
    <t>Considerar catálogo de indicadores por producto (visado, protocolo, campos adicionales)</t>
  </si>
  <si>
    <t>T-031</t>
  </si>
  <si>
    <t>Posible solapamiento con #43 y #45; valorar absorción</t>
  </si>
  <si>
    <t>Protocolo campos adicionales</t>
  </si>
  <si>
    <t>Si el producto tiene protocolo, mostrar campos adicionales del protocolo en el formulario</t>
  </si>
  <si>
    <t>Nueva. Derivada del enfoque §3.2</t>
  </si>
  <si>
    <t>Lógica back para gestionar campos de protocolo por producto</t>
  </si>
  <si>
    <t>Edición</t>
  </si>
  <si>
    <t>Pantalla edición</t>
  </si>
  <si>
    <t>Pantalla de edición de prescripción existente (si el estado lo permite)</t>
  </si>
  <si>
    <t>Nueva. T-034 solo cubre API back</t>
  </si>
  <si>
    <t>Guardar borrador</t>
  </si>
  <si>
    <t>Guardar prescripción como borrador (sin firmar)</t>
  </si>
  <si>
    <t>Nueva. Implícita en T-033 pero no tiene tarea front propia</t>
  </si>
  <si>
    <t>Firma</t>
  </si>
  <si>
    <t>Firmar prescripción</t>
  </si>
  <si>
    <t>Firmar y autorizar prescripción desde interfaz (integración Giltza/Izenpe)</t>
  </si>
  <si>
    <t>T-032</t>
  </si>
  <si>
    <t>Base original insuficiente para integración con Giltza/Izenpe desconocido; estimación ajustada al alza</t>
  </si>
  <si>
    <t>Firmar y generar</t>
  </si>
  <si>
    <t>Firmar y generar prescripción en back: firma digital, generación de CSV/documento firmado</t>
  </si>
  <si>
    <t>T-040</t>
  </si>
  <si>
    <t>Integración Giltza desconocida; alta incertidumbre</t>
  </si>
  <si>
    <t>APIs CRUD</t>
  </si>
  <si>
    <t>API creación</t>
  </si>
  <si>
    <t>API de creación de prescripción</t>
  </si>
  <si>
    <t>T-033</t>
  </si>
  <si>
    <t>API edición</t>
  </si>
  <si>
    <t>API de edición de prescripción</t>
  </si>
  <si>
    <t>T-034</t>
  </si>
  <si>
    <t>API eliminación</t>
  </si>
  <si>
    <t>API de eliminación de prescripción (solo borrador/pendiente de firma)</t>
  </si>
  <si>
    <t>T-035</t>
  </si>
  <si>
    <t>Acción eliminar</t>
  </si>
  <si>
    <t>Acción de eliminar prescripción desde el listado (front)</t>
  </si>
  <si>
    <t>Nueva. T-035 cubre API back; falta acción front</t>
  </si>
  <si>
    <t>API clonar</t>
  </si>
  <si>
    <t>API de clonar/copiar prescripción (elimina materiales no válidos para la especialidad)</t>
  </si>
  <si>
    <t>T-036</t>
  </si>
  <si>
    <t>Lógica de limpieza de materiales por especialidad</t>
  </si>
  <si>
    <t>Acción copiar</t>
  </si>
  <si>
    <t>Acción de copiar/duplicar prescripción desde el listado (front)</t>
  </si>
  <si>
    <t>API anular</t>
  </si>
  <si>
    <t>API de anular prescripción (si no dispensada ni anulada)</t>
  </si>
  <si>
    <t>T-037</t>
  </si>
  <si>
    <t>Acción anular</t>
  </si>
  <si>
    <t>Acción de anular prescripción desde el listado (front)</t>
  </si>
  <si>
    <t>API renovar</t>
  </si>
  <si>
    <t>API de renovar prescripción (crea prescripción de renovación)</t>
  </si>
  <si>
    <t>T-038</t>
  </si>
  <si>
    <t>Acción renovar</t>
  </si>
  <si>
    <t>Acción de renovar prescripción desde el listado: si es temprana, solicitar justificación clínica</t>
  </si>
  <si>
    <t>Validación</t>
  </si>
  <si>
    <t>Validar prescripción</t>
  </si>
  <si>
    <t>Validar prescripción: aplicar reglas de negocio (unidad clínica, visado, motivo, estados)</t>
  </si>
  <si>
    <t>T-039</t>
  </si>
  <si>
    <t>Validar unidad clínica</t>
  </si>
  <si>
    <t>Validar que el prescriptor solo puede prescribir productos de su unidad clínica/especialidad (RN-01)</t>
  </si>
  <si>
    <t>Nueva. Regla específica no cubierta por T-039 genérico</t>
  </si>
  <si>
    <t>Validar motivo especial</t>
  </si>
  <si>
    <t>Validar motivo accidente de trabajo / enfermedad profesional: comunicación al sistema de visado (RN-04)</t>
  </si>
  <si>
    <t>Validar rechazada no reabrir</t>
  </si>
  <si>
    <t>Validar que prescripción rechazada por inspección no se puede reabrir (RN-05)</t>
  </si>
  <si>
    <t>Nueva. Regla simple de transición de estado</t>
  </si>
  <si>
    <t>Impresión</t>
  </si>
  <si>
    <t>Imprimir prescripción</t>
  </si>
  <si>
    <t>Imprimir prescripción desde interfaz (genera PDF oficial para entrega al paciente)</t>
  </si>
  <si>
    <t>T-041</t>
  </si>
  <si>
    <t>Generación de PDF de prescripción (back): plantilla oficial Osakidetza</t>
  </si>
  <si>
    <t>T-042</t>
  </si>
  <si>
    <t>Plantilla oficial de Osakidetza por definir</t>
  </si>
  <si>
    <t>Descargar informe</t>
  </si>
  <si>
    <t>Descargar informe/CSV de la prescripción firmada</t>
  </si>
  <si>
    <t>T-043</t>
  </si>
  <si>
    <t>Exportación</t>
  </si>
  <si>
    <t>Exportar Excel</t>
  </si>
  <si>
    <t>Exportar listado filtrado de prescripciones a Excel</t>
  </si>
  <si>
    <t>T-044</t>
  </si>
  <si>
    <t>Renovación</t>
  </si>
  <si>
    <t>Prescripción recurrente</t>
  </si>
  <si>
    <t>Renovación de prescripción: considerar renovación a tiempo y renovación temprana (exige justificación clínica escrita, RN-07)</t>
  </si>
  <si>
    <t>T-045</t>
  </si>
  <si>
    <t>Base posiblemente insuficiente; incluye lógica de justificación. Posible solapamiento con #59 (T-038)</t>
  </si>
  <si>
    <t>Máquina estados</t>
  </si>
  <si>
    <t>Estados prescripción</t>
  </si>
  <si>
    <t>Implementación de la máquina de estados de la prescripción (8 estados, transiciones definidas en enfoque §3.4)</t>
  </si>
  <si>
    <t>Nueva. CRÍTICA. No existe en el Excel original. 8 estados con transiciones complejas</t>
  </si>
  <si>
    <t>Estados material</t>
  </si>
  <si>
    <t>Implementación de la máquina de estados del material (10 estados, transiciones definidas en enfoque §3.5)</t>
  </si>
  <si>
    <t>Nueva. CRÍTICA. No existe en el Excel original. 10 estados con transiciones complejas</t>
  </si>
  <si>
    <t>Caducidad</t>
  </si>
  <si>
    <t>Proceso caducidad</t>
  </si>
  <si>
    <t>Proceso automático de caducidad: job/scheduler que marca como 'No vigente' las prescripciones no dispensadas en plazo (configurable, propuesta 6 meses, RN-10)</t>
  </si>
  <si>
    <t>Nueva. Requiere scheduler; infraestructura Osakidetza desconocida</t>
  </si>
  <si>
    <t>Nº Expediente</t>
  </si>
  <si>
    <t>Generación expediente</t>
  </si>
  <si>
    <t>Generación del nº de expediente de la prescripción (pendiente definir origen — P-02)</t>
  </si>
  <si>
    <t>Nueva. Sujeta a resolución de P-02</t>
  </si>
  <si>
    <t>DISPENSACIÓN</t>
  </si>
  <si>
    <t>APIs interop.</t>
  </si>
  <si>
    <t>Consulta dispensables</t>
  </si>
  <si>
    <t>API de consulta de prescripciones dispensables por paciente (TIS)</t>
  </si>
  <si>
    <t>T-050</t>
  </si>
  <si>
    <t>Interoperabilidad con sistemas de dispensación desconocidos</t>
  </si>
  <si>
    <t>Bloquear material</t>
  </si>
  <si>
    <t>API para bloquear material (reservado por un establecimiento; RN-09)</t>
  </si>
  <si>
    <t>T-051</t>
  </si>
  <si>
    <t>Excel dice 'prescripción' pero el enfoque es por material</t>
  </si>
  <si>
    <t>Desbloquear material</t>
  </si>
  <si>
    <t>API para desbloquear material</t>
  </si>
  <si>
    <t>T-052</t>
  </si>
  <si>
    <t>Recibir dispensación</t>
  </si>
  <si>
    <t>Recibir información de dispensación (API/evento): actualizar estado del material a Dispensado, registrar fecha, establecimiento</t>
  </si>
  <si>
    <t>T-053</t>
  </si>
  <si>
    <t>Protocolo de comunicación desconocido (API REST / evento / WS); alta incertidumbre</t>
  </si>
  <si>
    <t>Visado</t>
  </si>
  <si>
    <t>Enviar solicitud visado</t>
  </si>
  <si>
    <t>Enviar solicitud de visado al Departamento al firmar prescripción con material que requiere visado</t>
  </si>
  <si>
    <t>Nueva (escindida de T-054). Integración con Departamento desconocida</t>
  </si>
  <si>
    <t>Recibir estado visado</t>
  </si>
  <si>
    <t>Servicio receptor de estado de visado (push inmediato del Departamento): actualizar estado de prescripción</t>
  </si>
  <si>
    <t>T-054</t>
  </si>
  <si>
    <t>T-054 mezclaba envío+recepción; ahora separadas (#78+#79=95h vs 60h original)</t>
  </si>
  <si>
    <t>Validación post-disp.</t>
  </si>
  <si>
    <t>Validación prescriptor</t>
  </si>
  <si>
    <t>Pantalla/acción para que el prescriptor valide o rechace un material dispensado que requiere validación clínica</t>
  </si>
  <si>
    <t>Lógica back de validación post-dispensación: cambiar estado material según decisión del prescriptor</t>
  </si>
  <si>
    <t>Dispensación parcial</t>
  </si>
  <si>
    <t>Visualización parcial</t>
  </si>
  <si>
    <t>Visualización del estado material a material en prescripciones con dispensación parcial (front)</t>
  </si>
  <si>
    <t>Nueva. Sujeta a definición UX (P-08)</t>
  </si>
  <si>
    <t>Lógica parcial</t>
  </si>
  <si>
    <t>Lógica de dispensación parcial: gestionar estados independientes por material dentro de una prescripción (RN-16)</t>
  </si>
  <si>
    <t>TAREAS</t>
  </si>
  <si>
    <t>Tarea visado</t>
  </si>
  <si>
    <t>Crear tarea</t>
  </si>
  <si>
    <t>Crear tarea pendiente cuando la prescripción pasa a 'Pendiente inspección' (requiere visado)</t>
  </si>
  <si>
    <t>T-046</t>
  </si>
  <si>
    <t>Actualizar tarea</t>
  </si>
  <si>
    <t>Actualizar tarea cuando cambia el estado de visado (aprobado/rechazado/solicitud modificación)</t>
  </si>
  <si>
    <t>T-047</t>
  </si>
  <si>
    <t>Tarea validación</t>
  </si>
  <si>
    <t>Crear tarea pendiente cuando un material dispensado requiere validación del prescriptor</t>
  </si>
  <si>
    <t>Tarea dispensación</t>
  </si>
  <si>
    <t>Crear aviso cuando todos los materiales de una prescripción se dispensan (cierre de ciclo)</t>
  </si>
  <si>
    <t>Pantalla tareas</t>
  </si>
  <si>
    <t>Pantalla de visualización de tareas pendientes: visados pendientes, rechazados, modificaciones, dispensaciones pendientes de validación</t>
  </si>
  <si>
    <t>T-048</t>
  </si>
  <si>
    <t>APIs tareas</t>
  </si>
  <si>
    <t>APIs de gestión de tareas pendientes (listado, marcar como vista, histórico)</t>
  </si>
  <si>
    <t>T-049</t>
  </si>
  <si>
    <t>Dashboard</t>
  </si>
  <si>
    <t>Avisos al entrar</t>
  </si>
  <si>
    <t>Dashboard/pantalla de avisos al entrar al módulo: resumen de pendientes antes de acceder al listado</t>
  </si>
  <si>
    <t>API de resumen de pendientes para el dashboard de entrada</t>
  </si>
  <si>
    <t>MANTENIMIENTO</t>
  </si>
  <si>
    <t>Establecimientos</t>
  </si>
  <si>
    <t>Pantalla establecimientos</t>
  </si>
  <si>
    <t>Pantalla de gestión de establecimientos (listado, alta, edición, baja)</t>
  </si>
  <si>
    <t>APIs establecimientos</t>
  </si>
  <si>
    <t>APIs CRUD de gestión de establecimientos</t>
  </si>
  <si>
    <t>Configuraciones</t>
  </si>
  <si>
    <t>Pantalla configuraciones</t>
  </si>
  <si>
    <t>Pantalla de configuración del sistema (plazos de caducidad, sincronización, parámetros operativos)</t>
  </si>
  <si>
    <t>Nueva como front. T-003 solo cubría back</t>
  </si>
  <si>
    <t>API configuraciones</t>
  </si>
  <si>
    <t>API de gestión de configuraciones del sistema</t>
  </si>
  <si>
    <t>T-003</t>
  </si>
  <si>
    <t>Revisar: T-003 mezcla configuraciones + roles; valorar separar</t>
  </si>
  <si>
    <t>TRANSVERSAL</t>
  </si>
  <si>
    <t>Multi-idioma</t>
  </si>
  <si>
    <t>Multi-idioma front</t>
  </si>
  <si>
    <t>Internacionalización del front: euskera / castellano</t>
  </si>
  <si>
    <t>T-001</t>
  </si>
  <si>
    <t>Verificar si el framework base soporta i18n nativamente</t>
  </si>
  <si>
    <t>Multi-idioma back</t>
  </si>
  <si>
    <t>Internacionalización del back: mensajes, validaciones, errores en euskera / castellano</t>
  </si>
  <si>
    <t>T-002</t>
  </si>
  <si>
    <t>Unificación pacientes</t>
  </si>
  <si>
    <t>Modificar el proceso de unificación de pacientes existente en Osakidetza para incluir prescripciones ortoprotésicas</t>
  </si>
  <si>
    <t>Nueva. Proceso existente de Osakidetza completamente desconocido; alta incertidumbre</t>
  </si>
  <si>
    <t>Módulo SOA</t>
  </si>
  <si>
    <t>Servicio terceros</t>
  </si>
  <si>
    <t>Creación de módulo/servicio para exponer datos de prescripciones a otros sistemas de Osakidetza (servicio de consulta para terceros)</t>
  </si>
  <si>
    <t>T-055</t>
  </si>
  <si>
    <t>Estándares SOA de Osakidetza por conocer</t>
  </si>
  <si>
    <t>QA</t>
  </si>
  <si>
    <t>QA front</t>
  </si>
  <si>
    <t>Pruebas y tests unitarios: front (plan de pruebas de casos de uso)</t>
  </si>
  <si>
    <t>T-056</t>
  </si>
  <si>
    <t>Incremento por complejidad de máquinas de estado y flujos de firma</t>
  </si>
  <si>
    <t>QA back</t>
  </si>
  <si>
    <t>Pruebas y tests unitarios: back</t>
  </si>
  <si>
    <t>T-057</t>
  </si>
  <si>
    <t>ETL Reporting</t>
  </si>
  <si>
    <t>ETL datos reporting</t>
  </si>
  <si>
    <t>ETL de extracción de datos de prescripciones y carga en BBDD de reporting</t>
  </si>
  <si>
    <t>T-058</t>
  </si>
  <si>
    <t>ELIMINADA DEL ALCANCE. Se mantiene a 0h; conservada para trazabilidad</t>
  </si>
  <si>
    <t>Resumen de Estimación — Prescripciones Ortoprotésicas V5</t>
  </si>
  <si>
    <t>Tareas</t>
  </si>
  <si>
    <t>Δ Incremento</t>
  </si>
  <si>
    <t>TOTAL</t>
  </si>
  <si>
    <t>Criterios de estimación aplicados</t>
  </si>
  <si>
    <t>• Factor ×1.25: tareas estándar en entorno Osakidetza desconocido (posible fricción ambiental)</t>
  </si>
  <si>
    <t>• Factor ×1.30: tareas con lógica de negocio compleja o dependencia moderada de sistemas Osakidetza</t>
  </si>
  <si>
    <t>• Factor ×1.40: tareas con integración directa con sistema de Osakidetza no documentado</t>
  </si>
  <si>
    <t>• Factor ×1.50: tareas con alta incertidumbre (firma digital, interoperabilidad, APIs externas desconocidas)</t>
  </si>
  <si>
    <t>• Tareas nuevas: estimación base comparable a tareas similares del Excel, con factor aplicado según riesgo</t>
  </si>
  <si>
    <t>• Tareas con base insuficiente: se ha ajustado al alza la estimación (p.ej. T-032 firma front: 10h → 30h)</t>
  </si>
  <si>
    <t>Tareas con comentarios de redundancia o eliminación</t>
  </si>
  <si>
    <t>1. Distribución de esfuerzo por rol</t>
  </si>
  <si>
    <t>Rol</t>
  </si>
  <si>
    <t>Concepto</t>
  </si>
  <si>
    <t>Back-end</t>
  </si>
  <si>
    <t>Front-end</t>
  </si>
  <si>
    <t>Analista Funcional</t>
  </si>
  <si>
    <t>Project Manager</t>
  </si>
  <si>
    <t>TOTAL PROYECTO</t>
  </si>
  <si>
    <t>Personas</t>
  </si>
  <si>
    <t>Dedicación</t>
  </si>
  <si>
    <t>Justificación</t>
  </si>
  <si>
    <t>Front-end Senior</t>
  </si>
  <si>
    <t>TOTAL EQUIPO</t>
  </si>
  <si>
    <t>Front (h)</t>
  </si>
  <si>
    <t>Back (h)</t>
  </si>
  <si>
    <t>Total (h)</t>
  </si>
  <si>
    <t>Fase</t>
  </si>
  <si>
    <t>Meses</t>
  </si>
  <si>
    <t>Bloques funcionales</t>
  </si>
  <si>
    <t>Horas est.</t>
  </si>
  <si>
    <t>Roles principales</t>
  </si>
  <si>
    <t>Fase 1: AUTH + CATÁLOGO</t>
  </si>
  <si>
    <t>Fase 2: PRESCRIPCIÓN</t>
  </si>
  <si>
    <t>Listado, detalle, creación, edición, firma, acciones CRUD, validaciones, máquina de estados, impresión, exportación</t>
  </si>
  <si>
    <t>Fase 3: DISPENSACIÓN + TAREAS</t>
  </si>
  <si>
    <t>APIs interoperabilidad, visado, dispensación parcial, tareas pendientes, dashboard avisos</t>
  </si>
  <si>
    <t>Establecimientos, configuraciones, multi-idioma, unificación pacientes, módulo SOA</t>
  </si>
  <si>
    <t>Riesgo</t>
  </si>
  <si>
    <t>Mitigación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</si>
  <si>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</si>
  <si>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</si>
  <si>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</si>
  <si>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</si>
  <si>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</si>
  <si>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</si>
  <si>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</si>
  <si>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</si>
  <si>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</si>
  <si>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Total h</t>
  </si>
  <si>
    <t>Back-end Senior 1</t>
  </si>
  <si>
    <t>Back-end Senior 2</t>
  </si>
  <si>
    <t>TOTAL HORAS/MES</t>
  </si>
  <si>
    <t>PERSONAS ACTIVAS</t>
  </si>
  <si>
    <t>Meses activos</t>
  </si>
  <si>
    <t>Fase 4: MANT. + TRANSVERSAL</t>
  </si>
  <si>
    <t>Fase 5: QA integral + Estabiliz.</t>
  </si>
  <si>
    <t>M7-M9</t>
  </si>
  <si>
    <t>Complejidad máquinas de estados</t>
  </si>
  <si>
    <t>Fase 3: DISP.+TAREAS</t>
  </si>
  <si>
    <t>Fase 4: MANT.+TRANSV.</t>
  </si>
  <si>
    <t>Fase 5: QA+Estabiliz.</t>
  </si>
  <si>
    <t>Horas</t>
  </si>
  <si>
    <t>% total</t>
  </si>
  <si>
    <t>Horas asignadas</t>
  </si>
  <si>
    <t>h/mes efectivas</t>
  </si>
  <si>
    <t>Todas las pantallas: prescripción, catálogo, listados, firma, dispensación, mantenimiento</t>
  </si>
  <si>
    <t>Back ×2, Front, QA</t>
  </si>
  <si>
    <t>Impacto</t>
  </si>
  <si>
    <t>Retraso acceso sistemas Osakidetza</t>
  </si>
  <si>
    <t>Preguntas abiertas P-01 a P-08</t>
  </si>
  <si>
    <t>APIs interoperabilidad (visado)</t>
  </si>
  <si>
    <t>Retraso Fase 3 (+1 mes)</t>
  </si>
  <si>
    <t>Desbordamiento PRESCRIPCIÓN (+2 sem.)</t>
  </si>
  <si>
    <t>Baja de un Back Senior</t>
  </si>
  <si>
    <t>Back-end Senior 1 (TC)</t>
  </si>
  <si>
    <t>Back-end Senior 2 (TC)</t>
  </si>
  <si>
    <t>Front-end Senior (TC)</t>
  </si>
  <si>
    <t>Arquitecto</t>
  </si>
  <si>
    <t>UX/Diseño</t>
  </si>
  <si>
    <t>Planificación, seguimiento, riesgos, coordinación Osakidetza, gestión entregas</t>
  </si>
  <si>
    <t>M1-M2 (2m)</t>
  </si>
  <si>
    <t>3. Distribución por módulo (horas front/back de tareas)</t>
  </si>
  <si>
    <t>M1-M2</t>
  </si>
  <si>
    <t>Autenticación (Osabide Global + externo), roles, catálogo completo (BBDD, sincronización, búsqueda, favoritos)</t>
  </si>
  <si>
    <t>Pruebas integración E2E completas, corrección defectos, pruebas de aceptación con Osakidetza</t>
  </si>
  <si>
    <t>QA, Back ×1, Front, AF, PM</t>
  </si>
  <si>
    <t>5. Riesgos que afectan al cronograma</t>
  </si>
  <si>
    <t>Back puro sube a 2.401h/1 persona: inviable</t>
  </si>
  <si>
    <t>QA (TC)</t>
  </si>
  <si>
    <t>Planificación del Equipo — Prescripciones Ortoprotésicas V5 (11 meses, 155 h/mes)</t>
  </si>
  <si>
    <t>TC (M3-M11)</t>
  </si>
  <si>
    <t>M3 full + M4 parcial</t>
  </si>
  <si>
    <t>Arquitectura, diseño técnico, decisiones tecnológicas M3; revisión código y guía M4. Total 180h</t>
  </si>
  <si>
    <t>TC (M1-M2)</t>
  </si>
  <si>
    <t>Diseño de interacción, wireframes, prototipado M1-M2. Entrega diseño completo antes de M3</t>
  </si>
  <si>
    <t>1 persona TC: unitarias desde M3, integración desde M5, E2E desde M7, aceptación M9-M11 (1395 h)</t>
  </si>
  <si>
    <t>Parcial (M1-M11)</t>
  </si>
  <si>
    <t>Arranca M1 en paralelo con UX: especificaciones, flujos, toma requisitos. Apoyo continuo hasta M11</t>
  </si>
  <si>
    <t>2. Composición del equipo (11 meses, 155 h/mes)</t>
  </si>
  <si>
    <t>Análisis y Diseño</t>
  </si>
  <si>
    <t>Wireframes, prototipado, diseño de interacción. Entrega guía visual completa en M2 para que Front arranque en M3</t>
  </si>
  <si>
    <t>M1-M11 (11m)</t>
  </si>
  <si>
    <t>Análisis → Desarrollo</t>
  </si>
  <si>
    <t>Arranca M1 con UX: especificaciones funcionales, flujos, toma requisitos con Osakidetza. Apoyo continuo M3-M11</t>
  </si>
  <si>
    <t>Coordinación continua</t>
  </si>
  <si>
    <t>Coordinación global; picos en arranque (M1-M2) y cierre (M10-M11)</t>
  </si>
  <si>
    <t>M3-M4 (2m)</t>
  </si>
  <si>
    <t>Arranque desarrollo</t>
  </si>
  <si>
    <t>M3: arquitectura, diseño BBDD, definición APIs, stack tecnológico (155h). M4: revisión código, guía equipo (25h)</t>
  </si>
  <si>
    <t>M3-M11 (9m)</t>
  </si>
  <si>
    <t>Desarrollo</t>
  </si>
  <si>
    <t>QA continuo</t>
  </si>
  <si>
    <t>TC desde M3: unitarias, integración desde M5, E2E desde M7, aceptación con Osakidetza M9-M11</t>
  </si>
  <si>
    <t>Fase desarrollo</t>
  </si>
  <si>
    <t>Fase 1 (M4-M5)</t>
  </si>
  <si>
    <t>Fase 1 (M4-M6)</t>
  </si>
  <si>
    <t>Fase 2 (M5-M8)</t>
  </si>
  <si>
    <t>Fase 3 (M7-M9)</t>
  </si>
  <si>
    <t>Fase 4 (M8-M10)</t>
  </si>
  <si>
    <t>4. Fases del proyecto (11 meses)</t>
  </si>
  <si>
    <t>Fase 0: Análisis + Diseño UX</t>
  </si>
  <si>
    <t>Diseño UX completo (wireframes, prototipos), toma requisitos funcionales, especificaciones AF, resolución preguntas abiertas P-01 a P-08</t>
  </si>
  <si>
    <t>UX, AF, PM</t>
  </si>
  <si>
    <t>Fase 0B: Arranque técnico</t>
  </si>
  <si>
    <t>Arquitectura, diseño BBDD, stack técnico, setup entorno, pipelines CI/CD. Primeros sprints dev</t>
  </si>
  <si>
    <t>Arq, Back ×2, Front, QA, AF, PM</t>
  </si>
  <si>
    <t>M4-M6</t>
  </si>
  <si>
    <t>Back ×2, Front, QA, AF</t>
  </si>
  <si>
    <t>M5-M8</t>
  </si>
  <si>
    <t>M8-M10</t>
  </si>
  <si>
    <t>M9-M11</t>
  </si>
  <si>
    <t>+1-2 meses retraso desarrollo</t>
  </si>
  <si>
    <t>Solicitar accesos en M1 aprovechando fase análisis</t>
  </si>
  <si>
    <t>Bloqueo módulos completos desde M3</t>
  </si>
  <si>
    <t>Resolución obligatoria en M1-M2 (fase análisis)</t>
  </si>
  <si>
    <t>Diseño UX no validado en M2</t>
  </si>
  <si>
    <t>Retraso arranque desarrollo: Front sin diseño</t>
  </si>
  <si>
    <t>UX entrega wireframes iterativos; validación con stakeholders en M2</t>
  </si>
  <si>
    <t>Desarrollo mock-first, contrato API definido en M3</t>
  </si>
  <si>
    <t>Prototipo funcional en M6 para validación temprana</t>
  </si>
  <si>
    <t>Candidato backup; documentación cruzada Back 1 ↔ 2</t>
  </si>
  <si>
    <t>QA encuentra defectos críticos en M9+</t>
  </si>
  <si>
    <t>Retrabajo M10-M11, posible mes 12</t>
  </si>
  <si>
    <t>QA integrado desde M3: detección temprana, ciclos cortos</t>
  </si>
  <si>
    <t>M10</t>
  </si>
  <si>
    <t>M11</t>
  </si>
  <si>
    <t>Desglose por Fases (11 meses)</t>
  </si>
  <si>
    <t>Cronograma - Prescripciones Ortoprotesicas Osakidetza (11 meses, 155 h/mes)</t>
  </si>
  <si>
    <t>M1-M2: Analisis + UX | M3-M11: Desarrollo + QA | Equipo pico: 7 pers. (M3-M4) | Total: 5880 h</t>
  </si>
  <si>
    <t>Rol / Dedicacion</t>
  </si>
  <si>
    <t>% proy.</t>
  </si>
  <si>
    <t>UX/Diseno (TC)</t>
  </si>
  <si>
    <t>--- Fase analisis ---|--- Fase desarrollo + QA ---</t>
  </si>
  <si>
    <t>Fase 0: Analisis+UX</t>
  </si>
  <si>
    <t>Fase 0B: Arranque tec.</t>
  </si>
  <si>
    <t>Fase 1: AUTH+CATALOGO</t>
  </si>
  <si>
    <t>Fase 2: PRESCRIPCION</t>
  </si>
  <si>
    <t>Fecha: 06/03/2026</t>
  </si>
  <si>
    <t>Comparativa con estimacion original</t>
  </si>
  <si>
    <t>Valor</t>
  </si>
  <si>
    <t>Tareas Excel original (referencia)</t>
  </si>
  <si>
    <t>Tareas conservadas en V5</t>
  </si>
  <si>
    <t>Tareas nuevas en V5</t>
  </si>
  <si>
    <t>Total tareas V5</t>
  </si>
  <si>
    <t>Horas Excel original (referencia)</t>
  </si>
  <si>
    <t>Horas estimadas V5 (tareas tecnicas)</t>
  </si>
  <si>
    <t>Diferencia vs original</t>
  </si>
  <si>
    <t>Incremento tareas</t>
  </si>
  <si>
    <t>Total proyecto V5 (incl. gestion, QA, UX, Arq)</t>
  </si>
  <si>
    <t>Fecha: 06/03/2026 | Jornada: 155 h/mes (TC) | Horas tareas: 3686 h | Total proyecto: 5880 h</t>
  </si>
  <si>
    <t>Pico 7 (M3-M4)</t>
  </si>
  <si>
    <t>M1-M2: Fase de analisis y diseno UX (3 personas). M3-M11: Desarrollo + QA (hasta 7 personas en M3-M4).</t>
  </si>
  <si>
    <t>Pico: 7 pers. (M3-M4); 3 pers. (M1-M2); 6 pers. (M5-M11)</t>
  </si>
  <si>
    <t>Nota: Las Horas Estimadas incluyen un factor de riesgo uniforme (1.30x) aplicado sobre la base estimada de cada tarea.</t>
  </si>
  <si>
    <t>+1.698 h</t>
  </si>
  <si>
    <t>42,2 %</t>
  </si>
  <si>
    <t>2 Seniors TC: APIs, BBDD, integraciones Osabide/Osategi/Giltza, maq. estados (~1364 h/pers., util. 97,8%)</t>
  </si>
  <si>
    <t>19,4 %</t>
  </si>
  <si>
    <t>1 Senior TC: pantallas, formularios, componentes, UX, firma digital (util. 89,6%)</t>
  </si>
  <si>
    <t>2,8 %</t>
  </si>
  <si>
    <t>4,8 %</t>
  </si>
  <si>
    <t>18,6 %</t>
  </si>
  <si>
    <t>5,4 %</t>
  </si>
  <si>
    <t>6,8 %</t>
  </si>
  <si>
    <t>AUTH (back) + PRESCRIPCION (back) + TRANSVERSAL. APIs, BBDD, integraciones Osabide Global, Giltza</t>
  </si>
  <si>
    <t>CATALOGO (back) + DISPENSACION + TAREAS + MANTENIMIENTO. Nomenclator, visado, SOA, maq. 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</si>
</sst>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C459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4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64" fontId="0" fillId="9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9" fontId="0" fillId="3" borderId="1" xfId="0" applyNumberFormat="1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10" borderId="0" xfId="0" applyFont="1" applyFill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11" borderId="1" xfId="0" applyFill="1" applyBorder="1"/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7" fillId="0" borderId="0" xfId="0" applyFont="1"/>
    <xf numFmtId="0" fontId="8" fillId="0" borderId="0" xfId="0" applyFont="1"/>
    <xf numFmtId="0" fontId="3" fillId="12" borderId="0" xfId="0" applyFont="1" applyFill="1" applyAlignment="1">
      <alignment horizontal="center"/>
    </xf>
    <xf numFmtId="9" fontId="0" fillId="0" borderId="0" xfId="0" applyNumberFormat="1"/>
    <xf numFmtId="0" fontId="0" fillId="13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3069-4B8D-4FB3-8C88-CA3F676FB038}">
  <dimension ref="A1:J103"/>
  <sheetViews>
    <sheetView tabSelected="1" workbookViewId="0">
      <pane ySplit="1" topLeftCell="A2" activePane="bottomLeft" state="frozen"/>
      <selection pane="bottomLeft" activeCell="G104" sqref="G104"/>
    </sheetView>
  </sheetViews>
  <sheetFormatPr baseColWidth="10" defaultRowHeight="14.5" x14ac:dyDescent="0.35"/>
  <cols>
    <col min="1" max="1" width="5.6328125" customWidth="1"/>
    <col min="2" max="2" width="16.6328125" customWidth="1"/>
    <col min="3" max="3" width="20.6328125" customWidth="1"/>
    <col min="4" max="4" width="22.6328125" customWidth="1"/>
    <col min="5" max="5" width="70.6328125" style="31" customWidth="1"/>
    <col min="6" max="7" width="12.6328125" customWidth="1"/>
    <col min="8" max="8" width="13.6328125" customWidth="1"/>
    <col min="9" max="9" width="16.6328125" customWidth="1"/>
    <col min="10" max="10" width="55.6328125" style="3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" x14ac:dyDescent="0.35">
      <c r="A2" s="3">
        <v>1</v>
      </c>
      <c r="B2" s="4" t="s">
        <v>10</v>
      </c>
      <c r="C2" s="4" t="s">
        <v>11</v>
      </c>
      <c r="D2" s="4" t="s">
        <v>12</v>
      </c>
      <c r="E2" s="24" t="s">
        <v>13</v>
      </c>
      <c r="F2" s="3" t="s">
        <v>14</v>
      </c>
      <c r="G2" s="3" t="s">
        <v>15</v>
      </c>
      <c r="H2" s="5">
        <v>40</v>
      </c>
      <c r="I2" s="5">
        <v>52</v>
      </c>
      <c r="J2" s="24" t="s">
        <v>16</v>
      </c>
    </row>
    <row r="3" spans="1:10" ht="29" x14ac:dyDescent="0.35">
      <c r="A3" s="3">
        <v>2</v>
      </c>
      <c r="B3" s="4" t="s">
        <v>10</v>
      </c>
      <c r="C3" s="4" t="s">
        <v>11</v>
      </c>
      <c r="D3" s="4" t="s">
        <v>12</v>
      </c>
      <c r="E3" s="24" t="s">
        <v>17</v>
      </c>
      <c r="F3" s="3" t="s">
        <v>18</v>
      </c>
      <c r="G3" s="3"/>
      <c r="H3" s="5"/>
      <c r="I3" s="5">
        <v>47</v>
      </c>
      <c r="J3" s="24" t="s">
        <v>19</v>
      </c>
    </row>
    <row r="4" spans="1:10" x14ac:dyDescent="0.35">
      <c r="A4" s="3">
        <v>3</v>
      </c>
      <c r="B4" s="4" t="s">
        <v>10</v>
      </c>
      <c r="C4" s="4" t="s">
        <v>20</v>
      </c>
      <c r="D4" s="4" t="s">
        <v>12</v>
      </c>
      <c r="E4" s="24" t="s">
        <v>21</v>
      </c>
      <c r="F4" s="3" t="s">
        <v>14</v>
      </c>
      <c r="G4" s="3" t="s">
        <v>22</v>
      </c>
      <c r="H4" s="5">
        <v>30</v>
      </c>
      <c r="I4" s="5">
        <v>39</v>
      </c>
      <c r="J4" s="24"/>
    </row>
    <row r="5" spans="1:10" x14ac:dyDescent="0.35">
      <c r="A5" s="3">
        <v>4</v>
      </c>
      <c r="B5" s="4" t="s">
        <v>10</v>
      </c>
      <c r="C5" s="4" t="s">
        <v>20</v>
      </c>
      <c r="D5" s="4" t="s">
        <v>12</v>
      </c>
      <c r="E5" s="24" t="s">
        <v>23</v>
      </c>
      <c r="F5" s="3" t="s">
        <v>18</v>
      </c>
      <c r="G5" s="3" t="s">
        <v>24</v>
      </c>
      <c r="H5" s="5">
        <v>60</v>
      </c>
      <c r="I5" s="5">
        <v>78</v>
      </c>
      <c r="J5" s="24" t="s">
        <v>25</v>
      </c>
    </row>
    <row r="6" spans="1:10" x14ac:dyDescent="0.35">
      <c r="A6" s="3">
        <v>5</v>
      </c>
      <c r="B6" s="4" t="s">
        <v>10</v>
      </c>
      <c r="C6" s="4" t="s">
        <v>26</v>
      </c>
      <c r="D6" s="4" t="s">
        <v>27</v>
      </c>
      <c r="E6" s="24" t="s">
        <v>28</v>
      </c>
      <c r="F6" s="3" t="s">
        <v>14</v>
      </c>
      <c r="G6" s="3"/>
      <c r="H6" s="5"/>
      <c r="I6" s="5">
        <v>37</v>
      </c>
      <c r="J6" s="24" t="s">
        <v>29</v>
      </c>
    </row>
    <row r="7" spans="1:10" x14ac:dyDescent="0.35">
      <c r="A7" s="3">
        <v>6</v>
      </c>
      <c r="B7" s="4" t="s">
        <v>10</v>
      </c>
      <c r="C7" s="4" t="s">
        <v>26</v>
      </c>
      <c r="D7" s="4" t="s">
        <v>27</v>
      </c>
      <c r="E7" s="24" t="s">
        <v>30</v>
      </c>
      <c r="F7" s="3" t="s">
        <v>18</v>
      </c>
      <c r="G7" s="3"/>
      <c r="H7" s="5"/>
      <c r="I7" s="5">
        <v>37</v>
      </c>
      <c r="J7" s="24" t="s">
        <v>29</v>
      </c>
    </row>
    <row r="8" spans="1:10" x14ac:dyDescent="0.35">
      <c r="A8" s="3">
        <v>7</v>
      </c>
      <c r="B8" s="4" t="s">
        <v>10</v>
      </c>
      <c r="C8" s="4" t="s">
        <v>26</v>
      </c>
      <c r="D8" s="4" t="s">
        <v>31</v>
      </c>
      <c r="E8" s="24" t="s">
        <v>32</v>
      </c>
      <c r="F8" s="3" t="s">
        <v>14</v>
      </c>
      <c r="G8" s="3"/>
      <c r="H8" s="5"/>
      <c r="I8" s="5">
        <v>15</v>
      </c>
      <c r="J8" s="24" t="s">
        <v>33</v>
      </c>
    </row>
    <row r="9" spans="1:10" x14ac:dyDescent="0.35">
      <c r="A9" s="3">
        <v>8</v>
      </c>
      <c r="B9" s="4" t="s">
        <v>10</v>
      </c>
      <c r="C9" s="4" t="s">
        <v>26</v>
      </c>
      <c r="D9" s="4" t="s">
        <v>31</v>
      </c>
      <c r="E9" s="24" t="s">
        <v>34</v>
      </c>
      <c r="F9" s="3" t="s">
        <v>18</v>
      </c>
      <c r="G9" s="3"/>
      <c r="H9" s="5"/>
      <c r="I9" s="5">
        <v>15</v>
      </c>
      <c r="J9" s="24" t="s">
        <v>33</v>
      </c>
    </row>
    <row r="10" spans="1:10" ht="29" x14ac:dyDescent="0.35">
      <c r="A10" s="3">
        <v>9</v>
      </c>
      <c r="B10" s="4" t="s">
        <v>10</v>
      </c>
      <c r="C10" s="4" t="s">
        <v>35</v>
      </c>
      <c r="D10" s="4" t="s">
        <v>36</v>
      </c>
      <c r="E10" s="24" t="s">
        <v>37</v>
      </c>
      <c r="F10" s="3" t="s">
        <v>18</v>
      </c>
      <c r="G10" s="3"/>
      <c r="H10" s="5"/>
      <c r="I10" s="5">
        <v>23</v>
      </c>
      <c r="J10" s="24" t="s">
        <v>38</v>
      </c>
    </row>
    <row r="11" spans="1:10" ht="29" x14ac:dyDescent="0.35">
      <c r="A11" s="3">
        <v>10</v>
      </c>
      <c r="B11" s="4" t="s">
        <v>10</v>
      </c>
      <c r="C11" s="4" t="s">
        <v>35</v>
      </c>
      <c r="D11" s="4" t="s">
        <v>36</v>
      </c>
      <c r="E11" s="24" t="s">
        <v>39</v>
      </c>
      <c r="F11" s="3" t="s">
        <v>14</v>
      </c>
      <c r="G11" s="3"/>
      <c r="H11" s="5"/>
      <c r="I11" s="5">
        <v>19</v>
      </c>
      <c r="J11" s="24" t="s">
        <v>33</v>
      </c>
    </row>
    <row r="12" spans="1:10" ht="29" x14ac:dyDescent="0.35">
      <c r="A12" s="6">
        <v>11</v>
      </c>
      <c r="B12" s="7" t="s">
        <v>40</v>
      </c>
      <c r="C12" s="7" t="s">
        <v>41</v>
      </c>
      <c r="D12" s="7" t="s">
        <v>42</v>
      </c>
      <c r="E12" s="25" t="s">
        <v>43</v>
      </c>
      <c r="F12" s="6" t="s">
        <v>18</v>
      </c>
      <c r="G12" s="6" t="s">
        <v>44</v>
      </c>
      <c r="H12" s="8">
        <v>40</v>
      </c>
      <c r="I12" s="8">
        <v>52</v>
      </c>
      <c r="J12" s="25"/>
    </row>
    <row r="13" spans="1:10" x14ac:dyDescent="0.35">
      <c r="A13" s="6">
        <v>12</v>
      </c>
      <c r="B13" s="7" t="s">
        <v>40</v>
      </c>
      <c r="C13" s="7" t="s">
        <v>41</v>
      </c>
      <c r="D13" s="7" t="s">
        <v>42</v>
      </c>
      <c r="E13" s="25" t="s">
        <v>45</v>
      </c>
      <c r="F13" s="6" t="s">
        <v>18</v>
      </c>
      <c r="G13" s="6" t="s">
        <v>46</v>
      </c>
      <c r="H13" s="8">
        <v>20</v>
      </c>
      <c r="I13" s="8">
        <v>26</v>
      </c>
      <c r="J13" s="25"/>
    </row>
    <row r="14" spans="1:10" ht="29" x14ac:dyDescent="0.35">
      <c r="A14" s="6">
        <v>13</v>
      </c>
      <c r="B14" s="7" t="s">
        <v>40</v>
      </c>
      <c r="C14" s="7" t="s">
        <v>41</v>
      </c>
      <c r="D14" s="7" t="s">
        <v>47</v>
      </c>
      <c r="E14" s="25" t="s">
        <v>48</v>
      </c>
      <c r="F14" s="6" t="s">
        <v>18</v>
      </c>
      <c r="G14" s="6"/>
      <c r="H14" s="8"/>
      <c r="I14" s="8">
        <v>28</v>
      </c>
      <c r="J14" s="25" t="s">
        <v>49</v>
      </c>
    </row>
    <row r="15" spans="1:10" ht="29" x14ac:dyDescent="0.35">
      <c r="A15" s="6">
        <v>14</v>
      </c>
      <c r="B15" s="7" t="s">
        <v>40</v>
      </c>
      <c r="C15" s="7" t="s">
        <v>50</v>
      </c>
      <c r="D15" s="7" t="s">
        <v>51</v>
      </c>
      <c r="E15" s="25" t="s">
        <v>52</v>
      </c>
      <c r="F15" s="6" t="s">
        <v>18</v>
      </c>
      <c r="G15" s="6" t="s">
        <v>53</v>
      </c>
      <c r="H15" s="8">
        <v>40</v>
      </c>
      <c r="I15" s="8">
        <v>52</v>
      </c>
      <c r="J15" s="25" t="s">
        <v>54</v>
      </c>
    </row>
    <row r="16" spans="1:10" x14ac:dyDescent="0.35">
      <c r="A16" s="6">
        <v>15</v>
      </c>
      <c r="B16" s="7" t="s">
        <v>40</v>
      </c>
      <c r="C16" s="7" t="s">
        <v>50</v>
      </c>
      <c r="D16" s="7" t="s">
        <v>55</v>
      </c>
      <c r="E16" s="25" t="s">
        <v>56</v>
      </c>
      <c r="F16" s="6" t="s">
        <v>18</v>
      </c>
      <c r="G16" s="6" t="s">
        <v>57</v>
      </c>
      <c r="H16" s="8">
        <v>20</v>
      </c>
      <c r="I16" s="8">
        <v>26</v>
      </c>
      <c r="J16" s="25"/>
    </row>
    <row r="17" spans="1:10" ht="29" x14ac:dyDescent="0.35">
      <c r="A17" s="6">
        <v>16</v>
      </c>
      <c r="B17" s="7" t="s">
        <v>40</v>
      </c>
      <c r="C17" s="7" t="s">
        <v>50</v>
      </c>
      <c r="D17" s="7" t="s">
        <v>58</v>
      </c>
      <c r="E17" s="25" t="s">
        <v>59</v>
      </c>
      <c r="F17" s="6" t="s">
        <v>18</v>
      </c>
      <c r="G17" s="6"/>
      <c r="H17" s="8"/>
      <c r="I17" s="8">
        <v>42</v>
      </c>
      <c r="J17" s="25" t="s">
        <v>60</v>
      </c>
    </row>
    <row r="18" spans="1:10" ht="29" x14ac:dyDescent="0.35">
      <c r="A18" s="6">
        <v>17</v>
      </c>
      <c r="B18" s="7" t="s">
        <v>40</v>
      </c>
      <c r="C18" s="7" t="s">
        <v>61</v>
      </c>
      <c r="D18" s="7" t="s">
        <v>62</v>
      </c>
      <c r="E18" s="25" t="s">
        <v>63</v>
      </c>
      <c r="F18" s="6" t="s">
        <v>14</v>
      </c>
      <c r="G18" s="6" t="s">
        <v>64</v>
      </c>
      <c r="H18" s="8">
        <v>40</v>
      </c>
      <c r="I18" s="8">
        <v>52</v>
      </c>
      <c r="J18" s="25"/>
    </row>
    <row r="19" spans="1:10" x14ac:dyDescent="0.35">
      <c r="A19" s="6">
        <v>18</v>
      </c>
      <c r="B19" s="7" t="s">
        <v>40</v>
      </c>
      <c r="C19" s="7" t="s">
        <v>61</v>
      </c>
      <c r="D19" s="7" t="s">
        <v>65</v>
      </c>
      <c r="E19" s="25" t="s">
        <v>66</v>
      </c>
      <c r="F19" s="6" t="s">
        <v>18</v>
      </c>
      <c r="G19" s="6" t="s">
        <v>67</v>
      </c>
      <c r="H19" s="8">
        <v>60</v>
      </c>
      <c r="I19" s="8">
        <v>78</v>
      </c>
      <c r="J19" s="25"/>
    </row>
    <row r="20" spans="1:10" x14ac:dyDescent="0.35">
      <c r="A20" s="6">
        <v>19</v>
      </c>
      <c r="B20" s="7" t="s">
        <v>40</v>
      </c>
      <c r="C20" s="7" t="s">
        <v>68</v>
      </c>
      <c r="D20" s="7" t="s">
        <v>69</v>
      </c>
      <c r="E20" s="25" t="s">
        <v>70</v>
      </c>
      <c r="F20" s="6" t="s">
        <v>14</v>
      </c>
      <c r="G20" s="6" t="s">
        <v>71</v>
      </c>
      <c r="H20" s="8">
        <v>40</v>
      </c>
      <c r="I20" s="8">
        <v>52</v>
      </c>
      <c r="J20" s="25"/>
    </row>
    <row r="21" spans="1:10" x14ac:dyDescent="0.35">
      <c r="A21" s="6">
        <v>20</v>
      </c>
      <c r="B21" s="7" t="s">
        <v>40</v>
      </c>
      <c r="C21" s="7" t="s">
        <v>68</v>
      </c>
      <c r="D21" s="7" t="s">
        <v>72</v>
      </c>
      <c r="E21" s="25" t="s">
        <v>73</v>
      </c>
      <c r="F21" s="6" t="s">
        <v>18</v>
      </c>
      <c r="G21" s="6" t="s">
        <v>74</v>
      </c>
      <c r="H21" s="8">
        <v>20</v>
      </c>
      <c r="I21" s="8">
        <v>26</v>
      </c>
      <c r="J21" s="25"/>
    </row>
    <row r="22" spans="1:10" x14ac:dyDescent="0.35">
      <c r="A22" s="6">
        <v>21</v>
      </c>
      <c r="B22" s="7" t="s">
        <v>40</v>
      </c>
      <c r="C22" s="7" t="s">
        <v>68</v>
      </c>
      <c r="D22" s="7" t="s">
        <v>75</v>
      </c>
      <c r="E22" s="25" t="s">
        <v>76</v>
      </c>
      <c r="F22" s="6" t="s">
        <v>18</v>
      </c>
      <c r="G22" s="6" t="s">
        <v>77</v>
      </c>
      <c r="H22" s="8">
        <v>20</v>
      </c>
      <c r="I22" s="8">
        <v>26</v>
      </c>
      <c r="J22" s="25"/>
    </row>
    <row r="23" spans="1:10" x14ac:dyDescent="0.35">
      <c r="A23" s="6">
        <v>22</v>
      </c>
      <c r="B23" s="7" t="s">
        <v>40</v>
      </c>
      <c r="C23" s="7" t="s">
        <v>68</v>
      </c>
      <c r="D23" s="7" t="s">
        <v>78</v>
      </c>
      <c r="E23" s="25" t="s">
        <v>79</v>
      </c>
      <c r="F23" s="6" t="s">
        <v>18</v>
      </c>
      <c r="G23" s="6" t="s">
        <v>80</v>
      </c>
      <c r="H23" s="8">
        <v>20</v>
      </c>
      <c r="I23" s="8">
        <v>26</v>
      </c>
      <c r="J23" s="25"/>
    </row>
    <row r="24" spans="1:10" x14ac:dyDescent="0.35">
      <c r="A24" s="6">
        <v>23</v>
      </c>
      <c r="B24" s="7" t="s">
        <v>40</v>
      </c>
      <c r="C24" s="7" t="s">
        <v>68</v>
      </c>
      <c r="D24" s="7" t="s">
        <v>81</v>
      </c>
      <c r="E24" s="25" t="s">
        <v>82</v>
      </c>
      <c r="F24" s="6" t="s">
        <v>18</v>
      </c>
      <c r="G24" s="6"/>
      <c r="H24" s="8"/>
      <c r="I24" s="8">
        <v>15</v>
      </c>
      <c r="J24" s="25" t="s">
        <v>33</v>
      </c>
    </row>
    <row r="25" spans="1:10" ht="29" x14ac:dyDescent="0.35">
      <c r="A25" s="6">
        <v>24</v>
      </c>
      <c r="B25" s="7" t="s">
        <v>40</v>
      </c>
      <c r="C25" s="7" t="s">
        <v>83</v>
      </c>
      <c r="D25" s="7" t="s">
        <v>84</v>
      </c>
      <c r="E25" s="25" t="s">
        <v>85</v>
      </c>
      <c r="F25" s="6" t="s">
        <v>14</v>
      </c>
      <c r="G25" s="6" t="s">
        <v>86</v>
      </c>
      <c r="H25" s="8">
        <v>40</v>
      </c>
      <c r="I25" s="8">
        <v>52</v>
      </c>
      <c r="J25" s="25"/>
    </row>
    <row r="26" spans="1:10" ht="29" x14ac:dyDescent="0.35">
      <c r="A26" s="6">
        <v>25</v>
      </c>
      <c r="B26" s="7" t="s">
        <v>40</v>
      </c>
      <c r="C26" s="7" t="s">
        <v>83</v>
      </c>
      <c r="D26" s="7" t="s">
        <v>87</v>
      </c>
      <c r="E26" s="25" t="s">
        <v>88</v>
      </c>
      <c r="F26" s="6" t="s">
        <v>14</v>
      </c>
      <c r="G26" s="6"/>
      <c r="H26" s="8"/>
      <c r="I26" s="8">
        <v>19</v>
      </c>
      <c r="J26" s="25" t="s">
        <v>33</v>
      </c>
    </row>
    <row r="27" spans="1:10" ht="29" x14ac:dyDescent="0.35">
      <c r="A27" s="6">
        <v>26</v>
      </c>
      <c r="B27" s="7" t="s">
        <v>40</v>
      </c>
      <c r="C27" s="7" t="s">
        <v>83</v>
      </c>
      <c r="D27" s="7" t="s">
        <v>87</v>
      </c>
      <c r="E27" s="25" t="s">
        <v>89</v>
      </c>
      <c r="F27" s="6" t="s">
        <v>18</v>
      </c>
      <c r="G27" s="6"/>
      <c r="H27" s="8"/>
      <c r="I27" s="8">
        <v>19</v>
      </c>
      <c r="J27" s="25" t="s">
        <v>33</v>
      </c>
    </row>
    <row r="28" spans="1:10" x14ac:dyDescent="0.35">
      <c r="A28" s="6">
        <v>27</v>
      </c>
      <c r="B28" s="7" t="s">
        <v>40</v>
      </c>
      <c r="C28" s="7" t="s">
        <v>90</v>
      </c>
      <c r="D28" s="7" t="s">
        <v>91</v>
      </c>
      <c r="E28" s="25" t="s">
        <v>92</v>
      </c>
      <c r="F28" s="6" t="s">
        <v>14</v>
      </c>
      <c r="G28" s="6" t="s">
        <v>93</v>
      </c>
      <c r="H28" s="8">
        <v>40</v>
      </c>
      <c r="I28" s="8">
        <v>52</v>
      </c>
      <c r="J28" s="25"/>
    </row>
    <row r="29" spans="1:10" ht="29" x14ac:dyDescent="0.35">
      <c r="A29" s="6">
        <v>28</v>
      </c>
      <c r="B29" s="7" t="s">
        <v>40</v>
      </c>
      <c r="C29" s="7" t="s">
        <v>90</v>
      </c>
      <c r="D29" s="7" t="s">
        <v>94</v>
      </c>
      <c r="E29" s="25" t="s">
        <v>95</v>
      </c>
      <c r="F29" s="6" t="s">
        <v>18</v>
      </c>
      <c r="G29" s="6" t="s">
        <v>96</v>
      </c>
      <c r="H29" s="8">
        <v>30</v>
      </c>
      <c r="I29" s="8">
        <v>39</v>
      </c>
      <c r="J29" s="25"/>
    </row>
    <row r="30" spans="1:10" ht="29" x14ac:dyDescent="0.35">
      <c r="A30" s="9">
        <v>29</v>
      </c>
      <c r="B30" s="10" t="s">
        <v>97</v>
      </c>
      <c r="C30" s="10" t="s">
        <v>41</v>
      </c>
      <c r="D30" s="10" t="s">
        <v>42</v>
      </c>
      <c r="E30" s="26" t="s">
        <v>98</v>
      </c>
      <c r="F30" s="9" t="s">
        <v>18</v>
      </c>
      <c r="G30" s="9" t="s">
        <v>99</v>
      </c>
      <c r="H30" s="11">
        <v>40</v>
      </c>
      <c r="I30" s="11">
        <v>52</v>
      </c>
      <c r="J30" s="26" t="s">
        <v>100</v>
      </c>
    </row>
    <row r="31" spans="1:10" x14ac:dyDescent="0.35">
      <c r="A31" s="9">
        <v>30</v>
      </c>
      <c r="B31" s="10" t="s">
        <v>97</v>
      </c>
      <c r="C31" s="10" t="s">
        <v>41</v>
      </c>
      <c r="D31" s="10" t="s">
        <v>42</v>
      </c>
      <c r="E31" s="26" t="s">
        <v>101</v>
      </c>
      <c r="F31" s="9" t="s">
        <v>18</v>
      </c>
      <c r="G31" s="9" t="s">
        <v>102</v>
      </c>
      <c r="H31" s="11">
        <v>20</v>
      </c>
      <c r="I31" s="11">
        <v>26</v>
      </c>
      <c r="J31" s="26"/>
    </row>
    <row r="32" spans="1:10" ht="29" x14ac:dyDescent="0.35">
      <c r="A32" s="9">
        <v>31</v>
      </c>
      <c r="B32" s="10" t="s">
        <v>97</v>
      </c>
      <c r="C32" s="10" t="s">
        <v>103</v>
      </c>
      <c r="D32" s="10" t="s">
        <v>104</v>
      </c>
      <c r="E32" s="26" t="s">
        <v>105</v>
      </c>
      <c r="F32" s="9" t="s">
        <v>14</v>
      </c>
      <c r="G32" s="9" t="s">
        <v>106</v>
      </c>
      <c r="H32" s="11">
        <v>40</v>
      </c>
      <c r="I32" s="11">
        <v>52</v>
      </c>
      <c r="J32" s="26"/>
    </row>
    <row r="33" spans="1:10" x14ac:dyDescent="0.35">
      <c r="A33" s="9">
        <v>32</v>
      </c>
      <c r="B33" s="10" t="s">
        <v>97</v>
      </c>
      <c r="C33" s="10" t="s">
        <v>103</v>
      </c>
      <c r="D33" s="10" t="s">
        <v>107</v>
      </c>
      <c r="E33" s="26" t="s">
        <v>108</v>
      </c>
      <c r="F33" s="9" t="s">
        <v>18</v>
      </c>
      <c r="G33" s="9" t="s">
        <v>109</v>
      </c>
      <c r="H33" s="11">
        <v>60</v>
      </c>
      <c r="I33" s="11">
        <v>78</v>
      </c>
      <c r="J33" s="26" t="s">
        <v>110</v>
      </c>
    </row>
    <row r="34" spans="1:10" ht="29" x14ac:dyDescent="0.35">
      <c r="A34" s="9">
        <v>33</v>
      </c>
      <c r="B34" s="10" t="s">
        <v>97</v>
      </c>
      <c r="C34" s="10" t="s">
        <v>103</v>
      </c>
      <c r="D34" s="10" t="s">
        <v>111</v>
      </c>
      <c r="E34" s="26" t="s">
        <v>112</v>
      </c>
      <c r="F34" s="9" t="s">
        <v>14</v>
      </c>
      <c r="G34" s="9"/>
      <c r="H34" s="11"/>
      <c r="I34" s="11">
        <v>15</v>
      </c>
      <c r="J34" s="26" t="s">
        <v>33</v>
      </c>
    </row>
    <row r="35" spans="1:10" x14ac:dyDescent="0.35">
      <c r="A35" s="9">
        <v>34</v>
      </c>
      <c r="B35" s="10" t="s">
        <v>97</v>
      </c>
      <c r="C35" s="10" t="s">
        <v>113</v>
      </c>
      <c r="D35" s="10" t="s">
        <v>114</v>
      </c>
      <c r="E35" s="26" t="s">
        <v>115</v>
      </c>
      <c r="F35" s="9" t="s">
        <v>18</v>
      </c>
      <c r="G35" s="9" t="s">
        <v>116</v>
      </c>
      <c r="H35" s="11">
        <v>20</v>
      </c>
      <c r="I35" s="11">
        <v>26</v>
      </c>
      <c r="J35" s="26"/>
    </row>
    <row r="36" spans="1:10" ht="29" x14ac:dyDescent="0.35">
      <c r="A36" s="9">
        <v>35</v>
      </c>
      <c r="B36" s="10" t="s">
        <v>97</v>
      </c>
      <c r="C36" s="10" t="s">
        <v>113</v>
      </c>
      <c r="D36" s="10" t="s">
        <v>117</v>
      </c>
      <c r="E36" s="26" t="s">
        <v>118</v>
      </c>
      <c r="F36" s="9" t="s">
        <v>14</v>
      </c>
      <c r="G36" s="9" t="s">
        <v>119</v>
      </c>
      <c r="H36" s="11">
        <v>40</v>
      </c>
      <c r="I36" s="11">
        <v>52</v>
      </c>
      <c r="J36" s="26"/>
    </row>
    <row r="37" spans="1:10" ht="29" x14ac:dyDescent="0.35">
      <c r="A37" s="9">
        <v>36</v>
      </c>
      <c r="B37" s="10" t="s">
        <v>97</v>
      </c>
      <c r="C37" s="10" t="s">
        <v>113</v>
      </c>
      <c r="D37" s="10" t="s">
        <v>120</v>
      </c>
      <c r="E37" s="26" t="s">
        <v>121</v>
      </c>
      <c r="F37" s="9" t="s">
        <v>14</v>
      </c>
      <c r="G37" s="9"/>
      <c r="H37" s="11"/>
      <c r="I37" s="11">
        <v>28</v>
      </c>
      <c r="J37" s="26" t="s">
        <v>33</v>
      </c>
    </row>
    <row r="38" spans="1:10" x14ac:dyDescent="0.35">
      <c r="A38" s="9">
        <v>37</v>
      </c>
      <c r="B38" s="10" t="s">
        <v>97</v>
      </c>
      <c r="C38" s="10" t="s">
        <v>113</v>
      </c>
      <c r="D38" s="10" t="s">
        <v>120</v>
      </c>
      <c r="E38" s="26" t="s">
        <v>122</v>
      </c>
      <c r="F38" s="9" t="s">
        <v>18</v>
      </c>
      <c r="G38" s="9"/>
      <c r="H38" s="11"/>
      <c r="I38" s="11">
        <v>28</v>
      </c>
      <c r="J38" s="26" t="s">
        <v>33</v>
      </c>
    </row>
    <row r="39" spans="1:10" x14ac:dyDescent="0.35">
      <c r="A39" s="9">
        <v>38</v>
      </c>
      <c r="B39" s="10" t="s">
        <v>97</v>
      </c>
      <c r="C39" s="10" t="s">
        <v>113</v>
      </c>
      <c r="D39" s="10" t="s">
        <v>123</v>
      </c>
      <c r="E39" s="26" t="s">
        <v>124</v>
      </c>
      <c r="F39" s="9" t="s">
        <v>14</v>
      </c>
      <c r="G39" s="9"/>
      <c r="H39" s="11"/>
      <c r="I39" s="11">
        <v>19</v>
      </c>
      <c r="J39" s="26" t="s">
        <v>33</v>
      </c>
    </row>
    <row r="40" spans="1:10" ht="29" x14ac:dyDescent="0.35">
      <c r="A40" s="9">
        <v>39</v>
      </c>
      <c r="B40" s="10" t="s">
        <v>97</v>
      </c>
      <c r="C40" s="10" t="s">
        <v>125</v>
      </c>
      <c r="D40" s="10" t="s">
        <v>126</v>
      </c>
      <c r="E40" s="26" t="s">
        <v>127</v>
      </c>
      <c r="F40" s="9" t="s">
        <v>14</v>
      </c>
      <c r="G40" s="9" t="s">
        <v>128</v>
      </c>
      <c r="H40" s="11">
        <v>40</v>
      </c>
      <c r="I40" s="11">
        <v>52</v>
      </c>
      <c r="J40" s="26"/>
    </row>
    <row r="41" spans="1:10" ht="29" x14ac:dyDescent="0.35">
      <c r="A41" s="9">
        <v>40</v>
      </c>
      <c r="B41" s="10" t="s">
        <v>97</v>
      </c>
      <c r="C41" s="10" t="s">
        <v>125</v>
      </c>
      <c r="D41" s="10" t="s">
        <v>129</v>
      </c>
      <c r="E41" s="26" t="s">
        <v>130</v>
      </c>
      <c r="F41" s="9" t="s">
        <v>18</v>
      </c>
      <c r="G41" s="9" t="s">
        <v>131</v>
      </c>
      <c r="H41" s="11">
        <v>40</v>
      </c>
      <c r="I41" s="11">
        <v>52</v>
      </c>
      <c r="J41" s="26" t="s">
        <v>132</v>
      </c>
    </row>
    <row r="42" spans="1:10" ht="29" x14ac:dyDescent="0.35">
      <c r="A42" s="9">
        <v>41</v>
      </c>
      <c r="B42" s="10" t="s">
        <v>97</v>
      </c>
      <c r="C42" s="10" t="s">
        <v>125</v>
      </c>
      <c r="D42" s="10" t="s">
        <v>133</v>
      </c>
      <c r="E42" s="26" t="s">
        <v>134</v>
      </c>
      <c r="F42" s="9" t="s">
        <v>18</v>
      </c>
      <c r="G42" s="9" t="s">
        <v>135</v>
      </c>
      <c r="H42" s="11">
        <v>40</v>
      </c>
      <c r="I42" s="11">
        <v>52</v>
      </c>
      <c r="J42" s="26" t="s">
        <v>136</v>
      </c>
    </row>
    <row r="43" spans="1:10" x14ac:dyDescent="0.35">
      <c r="A43" s="9">
        <v>42</v>
      </c>
      <c r="B43" s="10" t="s">
        <v>97</v>
      </c>
      <c r="C43" s="10" t="s">
        <v>125</v>
      </c>
      <c r="D43" s="10" t="s">
        <v>137</v>
      </c>
      <c r="E43" s="26" t="s">
        <v>138</v>
      </c>
      <c r="F43" s="9" t="s">
        <v>14</v>
      </c>
      <c r="G43" s="9" t="s">
        <v>139</v>
      </c>
      <c r="H43" s="11">
        <v>20</v>
      </c>
      <c r="I43" s="11">
        <v>26</v>
      </c>
      <c r="J43" s="26"/>
    </row>
    <row r="44" spans="1:10" x14ac:dyDescent="0.35">
      <c r="A44" s="9">
        <v>43</v>
      </c>
      <c r="B44" s="10" t="s">
        <v>97</v>
      </c>
      <c r="C44" s="10" t="s">
        <v>125</v>
      </c>
      <c r="D44" s="10" t="s">
        <v>140</v>
      </c>
      <c r="E44" s="26" t="s">
        <v>141</v>
      </c>
      <c r="F44" s="9" t="s">
        <v>14</v>
      </c>
      <c r="G44" s="9" t="s">
        <v>142</v>
      </c>
      <c r="H44" s="11">
        <v>20</v>
      </c>
      <c r="I44" s="11">
        <v>26</v>
      </c>
      <c r="J44" s="26"/>
    </row>
    <row r="45" spans="1:10" ht="29" x14ac:dyDescent="0.35">
      <c r="A45" s="9">
        <v>44</v>
      </c>
      <c r="B45" s="10" t="s">
        <v>97</v>
      </c>
      <c r="C45" s="10" t="s">
        <v>125</v>
      </c>
      <c r="D45" s="10" t="s">
        <v>143</v>
      </c>
      <c r="E45" s="26" t="s">
        <v>144</v>
      </c>
      <c r="F45" s="9" t="s">
        <v>14</v>
      </c>
      <c r="G45" s="9" t="s">
        <v>145</v>
      </c>
      <c r="H45" s="11">
        <v>20</v>
      </c>
      <c r="I45" s="11">
        <v>26</v>
      </c>
      <c r="J45" s="26" t="s">
        <v>146</v>
      </c>
    </row>
    <row r="46" spans="1:10" ht="29" x14ac:dyDescent="0.35">
      <c r="A46" s="9">
        <v>45</v>
      </c>
      <c r="B46" s="10" t="s">
        <v>97</v>
      </c>
      <c r="C46" s="10" t="s">
        <v>125</v>
      </c>
      <c r="D46" s="10" t="s">
        <v>147</v>
      </c>
      <c r="E46" s="26" t="s">
        <v>148</v>
      </c>
      <c r="F46" s="9" t="s">
        <v>14</v>
      </c>
      <c r="G46" s="9"/>
      <c r="H46" s="11"/>
      <c r="I46" s="11">
        <v>23</v>
      </c>
      <c r="J46" s="26" t="s">
        <v>149</v>
      </c>
    </row>
    <row r="47" spans="1:10" x14ac:dyDescent="0.35">
      <c r="A47" s="9">
        <v>46</v>
      </c>
      <c r="B47" s="10" t="s">
        <v>97</v>
      </c>
      <c r="C47" s="10" t="s">
        <v>125</v>
      </c>
      <c r="D47" s="10" t="s">
        <v>147</v>
      </c>
      <c r="E47" s="26" t="s">
        <v>150</v>
      </c>
      <c r="F47" s="9" t="s">
        <v>18</v>
      </c>
      <c r="G47" s="9"/>
      <c r="H47" s="11"/>
      <c r="I47" s="11">
        <v>23</v>
      </c>
      <c r="J47" s="26" t="s">
        <v>33</v>
      </c>
    </row>
    <row r="48" spans="1:10" x14ac:dyDescent="0.35">
      <c r="A48" s="9">
        <v>47</v>
      </c>
      <c r="B48" s="10" t="s">
        <v>97</v>
      </c>
      <c r="C48" s="10" t="s">
        <v>151</v>
      </c>
      <c r="D48" s="10" t="s">
        <v>152</v>
      </c>
      <c r="E48" s="26" t="s">
        <v>153</v>
      </c>
      <c r="F48" s="9" t="s">
        <v>14</v>
      </c>
      <c r="G48" s="9"/>
      <c r="H48" s="11"/>
      <c r="I48" s="11">
        <v>37</v>
      </c>
      <c r="J48" s="26" t="s">
        <v>154</v>
      </c>
    </row>
    <row r="49" spans="1:10" x14ac:dyDescent="0.35">
      <c r="A49" s="9">
        <v>48</v>
      </c>
      <c r="B49" s="10" t="s">
        <v>97</v>
      </c>
      <c r="C49" s="10" t="s">
        <v>125</v>
      </c>
      <c r="D49" s="10" t="s">
        <v>155</v>
      </c>
      <c r="E49" s="26" t="s">
        <v>156</v>
      </c>
      <c r="F49" s="9" t="s">
        <v>14</v>
      </c>
      <c r="G49" s="9"/>
      <c r="H49" s="11"/>
      <c r="I49" s="11">
        <v>15</v>
      </c>
      <c r="J49" s="26" t="s">
        <v>157</v>
      </c>
    </row>
    <row r="50" spans="1:10" ht="29" x14ac:dyDescent="0.35">
      <c r="A50" s="9">
        <v>49</v>
      </c>
      <c r="B50" s="10" t="s">
        <v>97</v>
      </c>
      <c r="C50" s="10" t="s">
        <v>158</v>
      </c>
      <c r="D50" s="10" t="s">
        <v>159</v>
      </c>
      <c r="E50" s="26" t="s">
        <v>160</v>
      </c>
      <c r="F50" s="9" t="s">
        <v>14</v>
      </c>
      <c r="G50" s="9" t="s">
        <v>161</v>
      </c>
      <c r="H50" s="11">
        <v>10</v>
      </c>
      <c r="I50" s="11">
        <v>26</v>
      </c>
      <c r="J50" s="26" t="s">
        <v>162</v>
      </c>
    </row>
    <row r="51" spans="1:10" ht="29" x14ac:dyDescent="0.35">
      <c r="A51" s="9">
        <v>50</v>
      </c>
      <c r="B51" s="10" t="s">
        <v>97</v>
      </c>
      <c r="C51" s="10" t="s">
        <v>158</v>
      </c>
      <c r="D51" s="10" t="s">
        <v>163</v>
      </c>
      <c r="E51" s="26" t="s">
        <v>164</v>
      </c>
      <c r="F51" s="9" t="s">
        <v>18</v>
      </c>
      <c r="G51" s="9" t="s">
        <v>165</v>
      </c>
      <c r="H51" s="11">
        <v>40</v>
      </c>
      <c r="I51" s="11">
        <v>52</v>
      </c>
      <c r="J51" s="26" t="s">
        <v>166</v>
      </c>
    </row>
    <row r="52" spans="1:10" x14ac:dyDescent="0.35">
      <c r="A52" s="9">
        <v>51</v>
      </c>
      <c r="B52" s="10" t="s">
        <v>97</v>
      </c>
      <c r="C52" s="10" t="s">
        <v>167</v>
      </c>
      <c r="D52" s="10" t="s">
        <v>168</v>
      </c>
      <c r="E52" s="26" t="s">
        <v>169</v>
      </c>
      <c r="F52" s="9" t="s">
        <v>18</v>
      </c>
      <c r="G52" s="9" t="s">
        <v>170</v>
      </c>
      <c r="H52" s="11">
        <v>40</v>
      </c>
      <c r="I52" s="11">
        <v>52</v>
      </c>
      <c r="J52" s="26"/>
    </row>
    <row r="53" spans="1:10" x14ac:dyDescent="0.35">
      <c r="A53" s="9">
        <v>52</v>
      </c>
      <c r="B53" s="10" t="s">
        <v>97</v>
      </c>
      <c r="C53" s="10" t="s">
        <v>167</v>
      </c>
      <c r="D53" s="10" t="s">
        <v>171</v>
      </c>
      <c r="E53" s="26" t="s">
        <v>172</v>
      </c>
      <c r="F53" s="9" t="s">
        <v>18</v>
      </c>
      <c r="G53" s="9" t="s">
        <v>173</v>
      </c>
      <c r="H53" s="11">
        <v>40</v>
      </c>
      <c r="I53" s="11">
        <v>52</v>
      </c>
      <c r="J53" s="26"/>
    </row>
    <row r="54" spans="1:10" x14ac:dyDescent="0.35">
      <c r="A54" s="9">
        <v>53</v>
      </c>
      <c r="B54" s="10" t="s">
        <v>97</v>
      </c>
      <c r="C54" s="10" t="s">
        <v>167</v>
      </c>
      <c r="D54" s="10" t="s">
        <v>174</v>
      </c>
      <c r="E54" s="26" t="s">
        <v>175</v>
      </c>
      <c r="F54" s="9" t="s">
        <v>18</v>
      </c>
      <c r="G54" s="9" t="s">
        <v>176</v>
      </c>
      <c r="H54" s="11">
        <v>40</v>
      </c>
      <c r="I54" s="11">
        <v>52</v>
      </c>
      <c r="J54" s="26"/>
    </row>
    <row r="55" spans="1:10" x14ac:dyDescent="0.35">
      <c r="A55" s="9">
        <v>54</v>
      </c>
      <c r="B55" s="10" t="s">
        <v>97</v>
      </c>
      <c r="C55" s="10" t="s">
        <v>103</v>
      </c>
      <c r="D55" s="10" t="s">
        <v>177</v>
      </c>
      <c r="E55" s="26" t="s">
        <v>178</v>
      </c>
      <c r="F55" s="9" t="s">
        <v>14</v>
      </c>
      <c r="G55" s="9"/>
      <c r="H55" s="11"/>
      <c r="I55" s="11">
        <v>11</v>
      </c>
      <c r="J55" s="26" t="s">
        <v>179</v>
      </c>
    </row>
    <row r="56" spans="1:10" x14ac:dyDescent="0.35">
      <c r="A56" s="9">
        <v>55</v>
      </c>
      <c r="B56" s="10" t="s">
        <v>97</v>
      </c>
      <c r="C56" s="10" t="s">
        <v>167</v>
      </c>
      <c r="D56" s="10" t="s">
        <v>180</v>
      </c>
      <c r="E56" s="26" t="s">
        <v>181</v>
      </c>
      <c r="F56" s="9" t="s">
        <v>18</v>
      </c>
      <c r="G56" s="9" t="s">
        <v>182</v>
      </c>
      <c r="H56" s="11">
        <v>40</v>
      </c>
      <c r="I56" s="11">
        <v>52</v>
      </c>
      <c r="J56" s="26" t="s">
        <v>183</v>
      </c>
    </row>
    <row r="57" spans="1:10" x14ac:dyDescent="0.35">
      <c r="A57" s="9">
        <v>56</v>
      </c>
      <c r="B57" s="10" t="s">
        <v>97</v>
      </c>
      <c r="C57" s="10" t="s">
        <v>103</v>
      </c>
      <c r="D57" s="10" t="s">
        <v>184</v>
      </c>
      <c r="E57" s="26" t="s">
        <v>185</v>
      </c>
      <c r="F57" s="9" t="s">
        <v>14</v>
      </c>
      <c r="G57" s="9"/>
      <c r="H57" s="11"/>
      <c r="I57" s="11">
        <v>11</v>
      </c>
      <c r="J57" s="26" t="s">
        <v>33</v>
      </c>
    </row>
    <row r="58" spans="1:10" x14ac:dyDescent="0.35">
      <c r="A58" s="9">
        <v>57</v>
      </c>
      <c r="B58" s="10" t="s">
        <v>97</v>
      </c>
      <c r="C58" s="10" t="s">
        <v>167</v>
      </c>
      <c r="D58" s="10" t="s">
        <v>186</v>
      </c>
      <c r="E58" s="26" t="s">
        <v>187</v>
      </c>
      <c r="F58" s="9" t="s">
        <v>18</v>
      </c>
      <c r="G58" s="9" t="s">
        <v>188</v>
      </c>
      <c r="H58" s="11">
        <v>20</v>
      </c>
      <c r="I58" s="11">
        <v>26</v>
      </c>
      <c r="J58" s="26"/>
    </row>
    <row r="59" spans="1:10" x14ac:dyDescent="0.35">
      <c r="A59" s="9">
        <v>58</v>
      </c>
      <c r="B59" s="10" t="s">
        <v>97</v>
      </c>
      <c r="C59" s="10" t="s">
        <v>103</v>
      </c>
      <c r="D59" s="10" t="s">
        <v>189</v>
      </c>
      <c r="E59" s="26" t="s">
        <v>190</v>
      </c>
      <c r="F59" s="9" t="s">
        <v>14</v>
      </c>
      <c r="G59" s="9"/>
      <c r="H59" s="11"/>
      <c r="I59" s="11">
        <v>11</v>
      </c>
      <c r="J59" s="26" t="s">
        <v>33</v>
      </c>
    </row>
    <row r="60" spans="1:10" x14ac:dyDescent="0.35">
      <c r="A60" s="9">
        <v>59</v>
      </c>
      <c r="B60" s="10" t="s">
        <v>97</v>
      </c>
      <c r="C60" s="10" t="s">
        <v>167</v>
      </c>
      <c r="D60" s="10" t="s">
        <v>191</v>
      </c>
      <c r="E60" s="26" t="s">
        <v>192</v>
      </c>
      <c r="F60" s="9" t="s">
        <v>18</v>
      </c>
      <c r="G60" s="9" t="s">
        <v>193</v>
      </c>
      <c r="H60" s="11">
        <v>30</v>
      </c>
      <c r="I60" s="11">
        <v>39</v>
      </c>
      <c r="J60" s="26"/>
    </row>
    <row r="61" spans="1:10" ht="29" x14ac:dyDescent="0.35">
      <c r="A61" s="9">
        <v>60</v>
      </c>
      <c r="B61" s="10" t="s">
        <v>97</v>
      </c>
      <c r="C61" s="10" t="s">
        <v>103</v>
      </c>
      <c r="D61" s="10" t="s">
        <v>194</v>
      </c>
      <c r="E61" s="26" t="s">
        <v>195</v>
      </c>
      <c r="F61" s="9" t="s">
        <v>14</v>
      </c>
      <c r="G61" s="9"/>
      <c r="H61" s="11"/>
      <c r="I61" s="11">
        <v>15</v>
      </c>
      <c r="J61" s="26" t="s">
        <v>33</v>
      </c>
    </row>
    <row r="62" spans="1:10" ht="29" x14ac:dyDescent="0.35">
      <c r="A62" s="9">
        <v>61</v>
      </c>
      <c r="B62" s="10" t="s">
        <v>97</v>
      </c>
      <c r="C62" s="10" t="s">
        <v>196</v>
      </c>
      <c r="D62" s="10" t="s">
        <v>197</v>
      </c>
      <c r="E62" s="26" t="s">
        <v>198</v>
      </c>
      <c r="F62" s="9" t="s">
        <v>18</v>
      </c>
      <c r="G62" s="9" t="s">
        <v>199</v>
      </c>
      <c r="H62" s="11">
        <v>40</v>
      </c>
      <c r="I62" s="11">
        <v>52</v>
      </c>
      <c r="J62" s="26"/>
    </row>
    <row r="63" spans="1:10" ht="29" x14ac:dyDescent="0.35">
      <c r="A63" s="9">
        <v>62</v>
      </c>
      <c r="B63" s="10" t="s">
        <v>97</v>
      </c>
      <c r="C63" s="10" t="s">
        <v>196</v>
      </c>
      <c r="D63" s="10" t="s">
        <v>200</v>
      </c>
      <c r="E63" s="26" t="s">
        <v>201</v>
      </c>
      <c r="F63" s="9" t="s">
        <v>18</v>
      </c>
      <c r="G63" s="9"/>
      <c r="H63" s="11"/>
      <c r="I63" s="11">
        <v>23</v>
      </c>
      <c r="J63" s="26" t="s">
        <v>202</v>
      </c>
    </row>
    <row r="64" spans="1:10" ht="29" x14ac:dyDescent="0.35">
      <c r="A64" s="9">
        <v>63</v>
      </c>
      <c r="B64" s="10" t="s">
        <v>97</v>
      </c>
      <c r="C64" s="10" t="s">
        <v>196</v>
      </c>
      <c r="D64" s="10" t="s">
        <v>203</v>
      </c>
      <c r="E64" s="26" t="s">
        <v>204</v>
      </c>
      <c r="F64" s="9" t="s">
        <v>18</v>
      </c>
      <c r="G64" s="9"/>
      <c r="H64" s="11"/>
      <c r="I64" s="11">
        <v>19</v>
      </c>
      <c r="J64" s="26" t="s">
        <v>33</v>
      </c>
    </row>
    <row r="65" spans="1:10" x14ac:dyDescent="0.35">
      <c r="A65" s="9">
        <v>64</v>
      </c>
      <c r="B65" s="10" t="s">
        <v>97</v>
      </c>
      <c r="C65" s="10" t="s">
        <v>196</v>
      </c>
      <c r="D65" s="10" t="s">
        <v>205</v>
      </c>
      <c r="E65" s="26" t="s">
        <v>206</v>
      </c>
      <c r="F65" s="9" t="s">
        <v>18</v>
      </c>
      <c r="G65" s="9"/>
      <c r="H65" s="11"/>
      <c r="I65" s="11">
        <v>7</v>
      </c>
      <c r="J65" s="26" t="s">
        <v>207</v>
      </c>
    </row>
    <row r="66" spans="1:10" x14ac:dyDescent="0.35">
      <c r="A66" s="9">
        <v>65</v>
      </c>
      <c r="B66" s="10" t="s">
        <v>97</v>
      </c>
      <c r="C66" s="10" t="s">
        <v>208</v>
      </c>
      <c r="D66" s="10" t="s">
        <v>209</v>
      </c>
      <c r="E66" s="26" t="s">
        <v>210</v>
      </c>
      <c r="F66" s="9" t="s">
        <v>14</v>
      </c>
      <c r="G66" s="9" t="s">
        <v>211</v>
      </c>
      <c r="H66" s="11">
        <v>10</v>
      </c>
      <c r="I66" s="11">
        <v>13</v>
      </c>
      <c r="J66" s="26"/>
    </row>
    <row r="67" spans="1:10" x14ac:dyDescent="0.35">
      <c r="A67" s="9">
        <v>66</v>
      </c>
      <c r="B67" s="10" t="s">
        <v>97</v>
      </c>
      <c r="C67" s="10" t="s">
        <v>208</v>
      </c>
      <c r="D67" s="10" t="s">
        <v>209</v>
      </c>
      <c r="E67" s="26" t="s">
        <v>212</v>
      </c>
      <c r="F67" s="9" t="s">
        <v>18</v>
      </c>
      <c r="G67" s="9" t="s">
        <v>213</v>
      </c>
      <c r="H67" s="11">
        <v>30</v>
      </c>
      <c r="I67" s="11">
        <v>39</v>
      </c>
      <c r="J67" s="26" t="s">
        <v>214</v>
      </c>
    </row>
    <row r="68" spans="1:10" x14ac:dyDescent="0.35">
      <c r="A68" s="9">
        <v>67</v>
      </c>
      <c r="B68" s="10" t="s">
        <v>97</v>
      </c>
      <c r="C68" s="10" t="s">
        <v>208</v>
      </c>
      <c r="D68" s="10" t="s">
        <v>215</v>
      </c>
      <c r="E68" s="26" t="s">
        <v>216</v>
      </c>
      <c r="F68" s="9" t="s">
        <v>18</v>
      </c>
      <c r="G68" s="9" t="s">
        <v>217</v>
      </c>
      <c r="H68" s="11">
        <v>40</v>
      </c>
      <c r="I68" s="11">
        <v>52</v>
      </c>
      <c r="J68" s="26"/>
    </row>
    <row r="69" spans="1:10" x14ac:dyDescent="0.35">
      <c r="A69" s="9">
        <v>68</v>
      </c>
      <c r="B69" s="10" t="s">
        <v>97</v>
      </c>
      <c r="C69" s="10" t="s">
        <v>218</v>
      </c>
      <c r="D69" s="10" t="s">
        <v>219</v>
      </c>
      <c r="E69" s="26" t="s">
        <v>220</v>
      </c>
      <c r="F69" s="9" t="s">
        <v>18</v>
      </c>
      <c r="G69" s="9" t="s">
        <v>221</v>
      </c>
      <c r="H69" s="11">
        <v>60</v>
      </c>
      <c r="I69" s="11">
        <v>78</v>
      </c>
      <c r="J69" s="26"/>
    </row>
    <row r="70" spans="1:10" ht="29" x14ac:dyDescent="0.35">
      <c r="A70" s="9">
        <v>69</v>
      </c>
      <c r="B70" s="10" t="s">
        <v>97</v>
      </c>
      <c r="C70" s="10" t="s">
        <v>222</v>
      </c>
      <c r="D70" s="10" t="s">
        <v>223</v>
      </c>
      <c r="E70" s="26" t="s">
        <v>224</v>
      </c>
      <c r="F70" s="9" t="s">
        <v>18</v>
      </c>
      <c r="G70" s="9" t="s">
        <v>225</v>
      </c>
      <c r="H70" s="11">
        <v>20</v>
      </c>
      <c r="I70" s="11">
        <v>26</v>
      </c>
      <c r="J70" s="26" t="s">
        <v>226</v>
      </c>
    </row>
    <row r="71" spans="1:10" ht="29" x14ac:dyDescent="0.35">
      <c r="A71" s="9">
        <v>70</v>
      </c>
      <c r="B71" s="10" t="s">
        <v>97</v>
      </c>
      <c r="C71" s="10" t="s">
        <v>227</v>
      </c>
      <c r="D71" s="10" t="s">
        <v>228</v>
      </c>
      <c r="E71" s="26" t="s">
        <v>229</v>
      </c>
      <c r="F71" s="9" t="s">
        <v>18</v>
      </c>
      <c r="G71" s="9"/>
      <c r="H71" s="11"/>
      <c r="I71" s="11">
        <v>60</v>
      </c>
      <c r="J71" s="32" t="s">
        <v>230</v>
      </c>
    </row>
    <row r="72" spans="1:10" ht="29" x14ac:dyDescent="0.35">
      <c r="A72" s="9">
        <v>71</v>
      </c>
      <c r="B72" s="10" t="s">
        <v>97</v>
      </c>
      <c r="C72" s="10" t="s">
        <v>227</v>
      </c>
      <c r="D72" s="10" t="s">
        <v>231</v>
      </c>
      <c r="E72" s="26" t="s">
        <v>232</v>
      </c>
      <c r="F72" s="9" t="s">
        <v>18</v>
      </c>
      <c r="G72" s="9"/>
      <c r="H72" s="11"/>
      <c r="I72" s="11">
        <v>60</v>
      </c>
      <c r="J72" s="32" t="s">
        <v>233</v>
      </c>
    </row>
    <row r="73" spans="1:10" ht="29" x14ac:dyDescent="0.35">
      <c r="A73" s="9">
        <v>72</v>
      </c>
      <c r="B73" s="10" t="s">
        <v>97</v>
      </c>
      <c r="C73" s="10" t="s">
        <v>234</v>
      </c>
      <c r="D73" s="10" t="s">
        <v>235</v>
      </c>
      <c r="E73" s="26" t="s">
        <v>236</v>
      </c>
      <c r="F73" s="9" t="s">
        <v>18</v>
      </c>
      <c r="G73" s="9"/>
      <c r="H73" s="11"/>
      <c r="I73" s="11">
        <v>28</v>
      </c>
      <c r="J73" s="26" t="s">
        <v>237</v>
      </c>
    </row>
    <row r="74" spans="1:10" x14ac:dyDescent="0.35">
      <c r="A74" s="9">
        <v>73</v>
      </c>
      <c r="B74" s="10" t="s">
        <v>97</v>
      </c>
      <c r="C74" s="10" t="s">
        <v>238</v>
      </c>
      <c r="D74" s="10" t="s">
        <v>239</v>
      </c>
      <c r="E74" s="26" t="s">
        <v>240</v>
      </c>
      <c r="F74" s="9" t="s">
        <v>18</v>
      </c>
      <c r="G74" s="9"/>
      <c r="H74" s="11"/>
      <c r="I74" s="11">
        <v>19</v>
      </c>
      <c r="J74" s="26" t="s">
        <v>241</v>
      </c>
    </row>
    <row r="75" spans="1:10" x14ac:dyDescent="0.35">
      <c r="A75" s="12">
        <v>74</v>
      </c>
      <c r="B75" s="13" t="s">
        <v>242</v>
      </c>
      <c r="C75" s="13" t="s">
        <v>243</v>
      </c>
      <c r="D75" s="13" t="s">
        <v>244</v>
      </c>
      <c r="E75" s="27" t="s">
        <v>245</v>
      </c>
      <c r="F75" s="12" t="s">
        <v>18</v>
      </c>
      <c r="G75" s="12" t="s">
        <v>246</v>
      </c>
      <c r="H75" s="14">
        <v>40</v>
      </c>
      <c r="I75" s="14">
        <v>52</v>
      </c>
      <c r="J75" s="27" t="s">
        <v>247</v>
      </c>
    </row>
    <row r="76" spans="1:10" x14ac:dyDescent="0.35">
      <c r="A76" s="12">
        <v>75</v>
      </c>
      <c r="B76" s="13" t="s">
        <v>242</v>
      </c>
      <c r="C76" s="13" t="s">
        <v>243</v>
      </c>
      <c r="D76" s="13" t="s">
        <v>248</v>
      </c>
      <c r="E76" s="27" t="s">
        <v>249</v>
      </c>
      <c r="F76" s="12" t="s">
        <v>18</v>
      </c>
      <c r="G76" s="12" t="s">
        <v>250</v>
      </c>
      <c r="H76" s="14">
        <v>30</v>
      </c>
      <c r="I76" s="14">
        <v>39</v>
      </c>
      <c r="J76" s="27" t="s">
        <v>251</v>
      </c>
    </row>
    <row r="77" spans="1:10" x14ac:dyDescent="0.35">
      <c r="A77" s="12">
        <v>76</v>
      </c>
      <c r="B77" s="13" t="s">
        <v>242</v>
      </c>
      <c r="C77" s="13" t="s">
        <v>243</v>
      </c>
      <c r="D77" s="13" t="s">
        <v>252</v>
      </c>
      <c r="E77" s="27" t="s">
        <v>253</v>
      </c>
      <c r="F77" s="12" t="s">
        <v>18</v>
      </c>
      <c r="G77" s="12" t="s">
        <v>254</v>
      </c>
      <c r="H77" s="14">
        <v>30</v>
      </c>
      <c r="I77" s="14">
        <v>39</v>
      </c>
      <c r="J77" s="27"/>
    </row>
    <row r="78" spans="1:10" ht="29" x14ac:dyDescent="0.35">
      <c r="A78" s="12">
        <v>77</v>
      </c>
      <c r="B78" s="13" t="s">
        <v>242</v>
      </c>
      <c r="C78" s="13" t="s">
        <v>243</v>
      </c>
      <c r="D78" s="13" t="s">
        <v>255</v>
      </c>
      <c r="E78" s="27" t="s">
        <v>256</v>
      </c>
      <c r="F78" s="12" t="s">
        <v>18</v>
      </c>
      <c r="G78" s="12" t="s">
        <v>257</v>
      </c>
      <c r="H78" s="14">
        <v>60</v>
      </c>
      <c r="I78" s="14">
        <v>78</v>
      </c>
      <c r="J78" s="27" t="s">
        <v>258</v>
      </c>
    </row>
    <row r="79" spans="1:10" ht="29" x14ac:dyDescent="0.35">
      <c r="A79" s="12">
        <v>78</v>
      </c>
      <c r="B79" s="13" t="s">
        <v>242</v>
      </c>
      <c r="C79" s="13" t="s">
        <v>259</v>
      </c>
      <c r="D79" s="13" t="s">
        <v>260</v>
      </c>
      <c r="E79" s="27" t="s">
        <v>261</v>
      </c>
      <c r="F79" s="12" t="s">
        <v>18</v>
      </c>
      <c r="G79" s="12"/>
      <c r="H79" s="14"/>
      <c r="I79" s="14">
        <v>42</v>
      </c>
      <c r="J79" s="27" t="s">
        <v>262</v>
      </c>
    </row>
    <row r="80" spans="1:10" ht="29" x14ac:dyDescent="0.35">
      <c r="A80" s="12">
        <v>79</v>
      </c>
      <c r="B80" s="13" t="s">
        <v>242</v>
      </c>
      <c r="C80" s="13" t="s">
        <v>259</v>
      </c>
      <c r="D80" s="13" t="s">
        <v>263</v>
      </c>
      <c r="E80" s="27" t="s">
        <v>264</v>
      </c>
      <c r="F80" s="12" t="s">
        <v>18</v>
      </c>
      <c r="G80" s="12" t="s">
        <v>265</v>
      </c>
      <c r="H80" s="14">
        <v>60</v>
      </c>
      <c r="I80" s="14">
        <v>46</v>
      </c>
      <c r="J80" s="27" t="s">
        <v>266</v>
      </c>
    </row>
    <row r="81" spans="1:10" ht="29" x14ac:dyDescent="0.35">
      <c r="A81" s="12">
        <v>80</v>
      </c>
      <c r="B81" s="13" t="s">
        <v>242</v>
      </c>
      <c r="C81" s="13" t="s">
        <v>267</v>
      </c>
      <c r="D81" s="13" t="s">
        <v>268</v>
      </c>
      <c r="E81" s="27" t="s">
        <v>269</v>
      </c>
      <c r="F81" s="12" t="s">
        <v>14</v>
      </c>
      <c r="G81" s="12"/>
      <c r="H81" s="14"/>
      <c r="I81" s="14">
        <v>19</v>
      </c>
      <c r="J81" s="27" t="s">
        <v>33</v>
      </c>
    </row>
    <row r="82" spans="1:10" ht="29" x14ac:dyDescent="0.35">
      <c r="A82" s="12">
        <v>81</v>
      </c>
      <c r="B82" s="13" t="s">
        <v>242</v>
      </c>
      <c r="C82" s="13" t="s">
        <v>267</v>
      </c>
      <c r="D82" s="13" t="s">
        <v>268</v>
      </c>
      <c r="E82" s="27" t="s">
        <v>270</v>
      </c>
      <c r="F82" s="12" t="s">
        <v>18</v>
      </c>
      <c r="G82" s="12"/>
      <c r="H82" s="14"/>
      <c r="I82" s="14">
        <v>19</v>
      </c>
      <c r="J82" s="27" t="s">
        <v>33</v>
      </c>
    </row>
    <row r="83" spans="1:10" ht="29" x14ac:dyDescent="0.35">
      <c r="A83" s="12">
        <v>82</v>
      </c>
      <c r="B83" s="13" t="s">
        <v>242</v>
      </c>
      <c r="C83" s="13" t="s">
        <v>271</v>
      </c>
      <c r="D83" s="13" t="s">
        <v>272</v>
      </c>
      <c r="E83" s="27" t="s">
        <v>273</v>
      </c>
      <c r="F83" s="12" t="s">
        <v>14</v>
      </c>
      <c r="G83" s="12"/>
      <c r="H83" s="14"/>
      <c r="I83" s="14">
        <v>19</v>
      </c>
      <c r="J83" s="27" t="s">
        <v>274</v>
      </c>
    </row>
    <row r="84" spans="1:10" ht="29" x14ac:dyDescent="0.35">
      <c r="A84" s="12">
        <v>83</v>
      </c>
      <c r="B84" s="13" t="s">
        <v>242</v>
      </c>
      <c r="C84" s="13" t="s">
        <v>271</v>
      </c>
      <c r="D84" s="13" t="s">
        <v>275</v>
      </c>
      <c r="E84" s="27" t="s">
        <v>276</v>
      </c>
      <c r="F84" s="12" t="s">
        <v>18</v>
      </c>
      <c r="G84" s="12"/>
      <c r="H84" s="14"/>
      <c r="I84" s="14">
        <v>28</v>
      </c>
      <c r="J84" s="27" t="s">
        <v>33</v>
      </c>
    </row>
    <row r="85" spans="1:10" ht="29" x14ac:dyDescent="0.35">
      <c r="A85" s="15">
        <v>84</v>
      </c>
      <c r="B85" s="16" t="s">
        <v>277</v>
      </c>
      <c r="C85" s="16" t="s">
        <v>278</v>
      </c>
      <c r="D85" s="16" t="s">
        <v>279</v>
      </c>
      <c r="E85" s="28" t="s">
        <v>280</v>
      </c>
      <c r="F85" s="15" t="s">
        <v>18</v>
      </c>
      <c r="G85" s="15" t="s">
        <v>281</v>
      </c>
      <c r="H85" s="17">
        <v>30</v>
      </c>
      <c r="I85" s="17">
        <v>39</v>
      </c>
      <c r="J85" s="28"/>
    </row>
    <row r="86" spans="1:10" ht="29" x14ac:dyDescent="0.35">
      <c r="A86" s="15">
        <v>85</v>
      </c>
      <c r="B86" s="16" t="s">
        <v>277</v>
      </c>
      <c r="C86" s="16" t="s">
        <v>278</v>
      </c>
      <c r="D86" s="16" t="s">
        <v>282</v>
      </c>
      <c r="E86" s="28" t="s">
        <v>283</v>
      </c>
      <c r="F86" s="15" t="s">
        <v>18</v>
      </c>
      <c r="G86" s="15" t="s">
        <v>284</v>
      </c>
      <c r="H86" s="17">
        <v>30</v>
      </c>
      <c r="I86" s="17">
        <v>39</v>
      </c>
      <c r="J86" s="28"/>
    </row>
    <row r="87" spans="1:10" ht="29" x14ac:dyDescent="0.35">
      <c r="A87" s="15">
        <v>86</v>
      </c>
      <c r="B87" s="16" t="s">
        <v>277</v>
      </c>
      <c r="C87" s="16" t="s">
        <v>285</v>
      </c>
      <c r="D87" s="16" t="s">
        <v>285</v>
      </c>
      <c r="E87" s="28" t="s">
        <v>286</v>
      </c>
      <c r="F87" s="15" t="s">
        <v>18</v>
      </c>
      <c r="G87" s="15"/>
      <c r="H87" s="17"/>
      <c r="I87" s="17">
        <v>23</v>
      </c>
      <c r="J87" s="28" t="s">
        <v>33</v>
      </c>
    </row>
    <row r="88" spans="1:10" ht="29" x14ac:dyDescent="0.35">
      <c r="A88" s="15">
        <v>87</v>
      </c>
      <c r="B88" s="16" t="s">
        <v>277</v>
      </c>
      <c r="C88" s="16" t="s">
        <v>287</v>
      </c>
      <c r="D88" s="16" t="s">
        <v>287</v>
      </c>
      <c r="E88" s="28" t="s">
        <v>288</v>
      </c>
      <c r="F88" s="15" t="s">
        <v>18</v>
      </c>
      <c r="G88" s="15"/>
      <c r="H88" s="17"/>
      <c r="I88" s="17">
        <v>15</v>
      </c>
      <c r="J88" s="28" t="s">
        <v>33</v>
      </c>
    </row>
    <row r="89" spans="1:10" ht="29" x14ac:dyDescent="0.35">
      <c r="A89" s="15">
        <v>88</v>
      </c>
      <c r="B89" s="16" t="s">
        <v>277</v>
      </c>
      <c r="C89" s="16" t="s">
        <v>289</v>
      </c>
      <c r="D89" s="16" t="s">
        <v>289</v>
      </c>
      <c r="E89" s="28" t="s">
        <v>290</v>
      </c>
      <c r="F89" s="15" t="s">
        <v>14</v>
      </c>
      <c r="G89" s="15" t="s">
        <v>291</v>
      </c>
      <c r="H89" s="17">
        <v>40</v>
      </c>
      <c r="I89" s="17">
        <v>52</v>
      </c>
      <c r="J89" s="28"/>
    </row>
    <row r="90" spans="1:10" x14ac:dyDescent="0.35">
      <c r="A90" s="15">
        <v>89</v>
      </c>
      <c r="B90" s="16" t="s">
        <v>277</v>
      </c>
      <c r="C90" s="16" t="s">
        <v>292</v>
      </c>
      <c r="D90" s="16" t="s">
        <v>292</v>
      </c>
      <c r="E90" s="28" t="s">
        <v>293</v>
      </c>
      <c r="F90" s="15" t="s">
        <v>18</v>
      </c>
      <c r="G90" s="15" t="s">
        <v>294</v>
      </c>
      <c r="H90" s="17">
        <v>40</v>
      </c>
      <c r="I90" s="17">
        <v>52</v>
      </c>
      <c r="J90" s="28"/>
    </row>
    <row r="91" spans="1:10" ht="29" x14ac:dyDescent="0.35">
      <c r="A91" s="15">
        <v>90</v>
      </c>
      <c r="B91" s="16" t="s">
        <v>277</v>
      </c>
      <c r="C91" s="16" t="s">
        <v>295</v>
      </c>
      <c r="D91" s="16" t="s">
        <v>296</v>
      </c>
      <c r="E91" s="28" t="s">
        <v>297</v>
      </c>
      <c r="F91" s="15" t="s">
        <v>14</v>
      </c>
      <c r="G91" s="15"/>
      <c r="H91" s="17"/>
      <c r="I91" s="17">
        <v>28</v>
      </c>
      <c r="J91" s="28" t="s">
        <v>33</v>
      </c>
    </row>
    <row r="92" spans="1:10" x14ac:dyDescent="0.35">
      <c r="A92" s="15">
        <v>91</v>
      </c>
      <c r="B92" s="16" t="s">
        <v>277</v>
      </c>
      <c r="C92" s="16" t="s">
        <v>295</v>
      </c>
      <c r="D92" s="16" t="s">
        <v>296</v>
      </c>
      <c r="E92" s="28" t="s">
        <v>298</v>
      </c>
      <c r="F92" s="15" t="s">
        <v>18</v>
      </c>
      <c r="G92" s="15"/>
      <c r="H92" s="17"/>
      <c r="I92" s="17">
        <v>19</v>
      </c>
      <c r="J92" s="28" t="s">
        <v>33</v>
      </c>
    </row>
    <row r="93" spans="1:10" x14ac:dyDescent="0.35">
      <c r="A93" s="18">
        <v>92</v>
      </c>
      <c r="B93" s="19" t="s">
        <v>299</v>
      </c>
      <c r="C93" s="19" t="s">
        <v>300</v>
      </c>
      <c r="D93" s="19" t="s">
        <v>301</v>
      </c>
      <c r="E93" s="29" t="s">
        <v>302</v>
      </c>
      <c r="F93" s="18" t="s">
        <v>14</v>
      </c>
      <c r="G93" s="18"/>
      <c r="H93" s="20"/>
      <c r="I93" s="20">
        <v>28</v>
      </c>
      <c r="J93" s="29" t="s">
        <v>33</v>
      </c>
    </row>
    <row r="94" spans="1:10" x14ac:dyDescent="0.35">
      <c r="A94" s="18">
        <v>93</v>
      </c>
      <c r="B94" s="19" t="s">
        <v>299</v>
      </c>
      <c r="C94" s="19" t="s">
        <v>300</v>
      </c>
      <c r="D94" s="19" t="s">
        <v>303</v>
      </c>
      <c r="E94" s="29" t="s">
        <v>304</v>
      </c>
      <c r="F94" s="18" t="s">
        <v>18</v>
      </c>
      <c r="G94" s="18"/>
      <c r="H94" s="20"/>
      <c r="I94" s="20">
        <v>28</v>
      </c>
      <c r="J94" s="29" t="s">
        <v>33</v>
      </c>
    </row>
    <row r="95" spans="1:10" ht="29" x14ac:dyDescent="0.35">
      <c r="A95" s="18">
        <v>94</v>
      </c>
      <c r="B95" s="19" t="s">
        <v>299</v>
      </c>
      <c r="C95" s="19" t="s">
        <v>305</v>
      </c>
      <c r="D95" s="19" t="s">
        <v>306</v>
      </c>
      <c r="E95" s="29" t="s">
        <v>307</v>
      </c>
      <c r="F95" s="18" t="s">
        <v>14</v>
      </c>
      <c r="G95" s="18"/>
      <c r="H95" s="20"/>
      <c r="I95" s="20">
        <v>23</v>
      </c>
      <c r="J95" s="29" t="s">
        <v>308</v>
      </c>
    </row>
    <row r="96" spans="1:10" x14ac:dyDescent="0.35">
      <c r="A96" s="18">
        <v>95</v>
      </c>
      <c r="B96" s="19" t="s">
        <v>299</v>
      </c>
      <c r="C96" s="19" t="s">
        <v>305</v>
      </c>
      <c r="D96" s="19" t="s">
        <v>309</v>
      </c>
      <c r="E96" s="29" t="s">
        <v>310</v>
      </c>
      <c r="F96" s="18" t="s">
        <v>18</v>
      </c>
      <c r="G96" s="18" t="s">
        <v>311</v>
      </c>
      <c r="H96" s="20">
        <v>40</v>
      </c>
      <c r="I96" s="20">
        <v>52</v>
      </c>
      <c r="J96" s="29" t="s">
        <v>312</v>
      </c>
    </row>
    <row r="97" spans="1:10" x14ac:dyDescent="0.35">
      <c r="A97" s="21">
        <v>96</v>
      </c>
      <c r="B97" s="22" t="s">
        <v>313</v>
      </c>
      <c r="C97" s="22" t="s">
        <v>314</v>
      </c>
      <c r="D97" s="22" t="s">
        <v>315</v>
      </c>
      <c r="E97" s="30" t="s">
        <v>316</v>
      </c>
      <c r="F97" s="21" t="s">
        <v>14</v>
      </c>
      <c r="G97" s="21" t="s">
        <v>317</v>
      </c>
      <c r="H97" s="23">
        <v>60</v>
      </c>
      <c r="I97" s="23">
        <v>78</v>
      </c>
      <c r="J97" s="30" t="s">
        <v>318</v>
      </c>
    </row>
    <row r="98" spans="1:10" ht="29" x14ac:dyDescent="0.35">
      <c r="A98" s="21">
        <v>97</v>
      </c>
      <c r="B98" s="22" t="s">
        <v>313</v>
      </c>
      <c r="C98" s="22" t="s">
        <v>314</v>
      </c>
      <c r="D98" s="22" t="s">
        <v>319</v>
      </c>
      <c r="E98" s="30" t="s">
        <v>320</v>
      </c>
      <c r="F98" s="21" t="s">
        <v>18</v>
      </c>
      <c r="G98" s="21" t="s">
        <v>321</v>
      </c>
      <c r="H98" s="23">
        <v>60</v>
      </c>
      <c r="I98" s="23">
        <v>78</v>
      </c>
      <c r="J98" s="30"/>
    </row>
    <row r="99" spans="1:10" ht="29" x14ac:dyDescent="0.35">
      <c r="A99" s="21">
        <v>98</v>
      </c>
      <c r="B99" s="22" t="s">
        <v>313</v>
      </c>
      <c r="C99" s="22" t="s">
        <v>322</v>
      </c>
      <c r="D99" s="22" t="s">
        <v>322</v>
      </c>
      <c r="E99" s="30" t="s">
        <v>323</v>
      </c>
      <c r="F99" s="21" t="s">
        <v>18</v>
      </c>
      <c r="G99" s="21"/>
      <c r="H99" s="23"/>
      <c r="I99" s="23">
        <v>52</v>
      </c>
      <c r="J99" s="30" t="s">
        <v>324</v>
      </c>
    </row>
    <row r="100" spans="1:10" ht="29" x14ac:dyDescent="0.35">
      <c r="A100" s="21">
        <v>99</v>
      </c>
      <c r="B100" s="22" t="s">
        <v>313</v>
      </c>
      <c r="C100" s="22" t="s">
        <v>325</v>
      </c>
      <c r="D100" s="22" t="s">
        <v>326</v>
      </c>
      <c r="E100" s="30" t="s">
        <v>327</v>
      </c>
      <c r="F100" s="21" t="s">
        <v>18</v>
      </c>
      <c r="G100" s="21" t="s">
        <v>328</v>
      </c>
      <c r="H100" s="23">
        <v>40</v>
      </c>
      <c r="I100" s="23">
        <v>52</v>
      </c>
      <c r="J100" s="30" t="s">
        <v>329</v>
      </c>
    </row>
    <row r="101" spans="1:10" ht="29" x14ac:dyDescent="0.35">
      <c r="A101" s="21">
        <v>100</v>
      </c>
      <c r="B101" s="22" t="s">
        <v>313</v>
      </c>
      <c r="C101" s="22" t="s">
        <v>330</v>
      </c>
      <c r="D101" s="22" t="s">
        <v>331</v>
      </c>
      <c r="E101" s="30" t="s">
        <v>332</v>
      </c>
      <c r="F101" s="21" t="s">
        <v>14</v>
      </c>
      <c r="G101" s="21" t="s">
        <v>333</v>
      </c>
      <c r="H101" s="23">
        <v>120</v>
      </c>
      <c r="I101" s="23">
        <v>156</v>
      </c>
      <c r="J101" s="30" t="s">
        <v>334</v>
      </c>
    </row>
    <row r="102" spans="1:10" x14ac:dyDescent="0.35">
      <c r="A102" s="21">
        <v>101</v>
      </c>
      <c r="B102" s="22" t="s">
        <v>313</v>
      </c>
      <c r="C102" s="22" t="s">
        <v>330</v>
      </c>
      <c r="D102" s="22" t="s">
        <v>335</v>
      </c>
      <c r="E102" s="30" t="s">
        <v>336</v>
      </c>
      <c r="F102" s="21" t="s">
        <v>18</v>
      </c>
      <c r="G102" s="21" t="s">
        <v>337</v>
      </c>
      <c r="H102" s="23">
        <v>120</v>
      </c>
      <c r="I102" s="23">
        <v>156</v>
      </c>
      <c r="J102" s="30"/>
    </row>
    <row r="103" spans="1:10" ht="29" x14ac:dyDescent="0.35">
      <c r="A103" s="21">
        <v>102</v>
      </c>
      <c r="B103" s="22" t="s">
        <v>313</v>
      </c>
      <c r="C103" s="22" t="s">
        <v>338</v>
      </c>
      <c r="D103" s="22" t="s">
        <v>339</v>
      </c>
      <c r="E103" s="30" t="s">
        <v>340</v>
      </c>
      <c r="F103" s="21" t="s">
        <v>18</v>
      </c>
      <c r="G103" s="21" t="s">
        <v>341</v>
      </c>
      <c r="H103" s="23">
        <v>60</v>
      </c>
      <c r="I103" s="23">
        <v>0</v>
      </c>
      <c r="J103" s="33" t="s">
        <v>342</v>
      </c>
    </row>
  </sheetData>
  <autoFilter ref="A1:J103" xr:uid="{BB6D3069-4B8D-4FB3-8C88-CA3F676FB0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4BEC-8C9C-4369-B4BB-076BADD17BE3}">
  <dimension ref="A1:G49"/>
  <sheetViews>
    <sheetView topLeftCell="A30" workbookViewId="0">
      <selection activeCell="B18" sqref="B18"/>
    </sheetView>
  </sheetViews>
  <sheetFormatPr baseColWidth="10" defaultRowHeight="14.5" x14ac:dyDescent="0.35"/>
  <cols>
    <col min="1" max="1" width="42.6328125" customWidth="1"/>
    <col min="2" max="2" width="60.6328125" customWidth="1"/>
    <col min="3" max="3" width="14.6328125" customWidth="1"/>
    <col min="4" max="4" width="60.6328125" customWidth="1"/>
    <col min="5" max="5" width="16.6328125" customWidth="1"/>
    <col min="6" max="6" width="18.6328125" customWidth="1"/>
    <col min="7" max="7" width="16.6328125" customWidth="1"/>
  </cols>
  <sheetData>
    <row r="1" spans="1:7" ht="18.5" x14ac:dyDescent="0.45">
      <c r="A1" s="68" t="s">
        <v>343</v>
      </c>
      <c r="B1" s="68"/>
      <c r="C1" s="68"/>
      <c r="D1" s="68"/>
      <c r="E1" s="68"/>
      <c r="F1" s="68"/>
    </row>
    <row r="2" spans="1:7" x14ac:dyDescent="0.35">
      <c r="A2" t="s">
        <v>502</v>
      </c>
    </row>
    <row r="3" spans="1:7" x14ac:dyDescent="0.35">
      <c r="A3" t="s">
        <v>518</v>
      </c>
    </row>
    <row r="5" spans="1:7" x14ac:dyDescent="0.35">
      <c r="A5" s="34" t="s">
        <v>1</v>
      </c>
      <c r="B5" s="34" t="s">
        <v>344</v>
      </c>
      <c r="C5" s="34" t="s">
        <v>14</v>
      </c>
      <c r="D5" s="34" t="s">
        <v>18</v>
      </c>
      <c r="E5" s="34" t="s">
        <v>7</v>
      </c>
      <c r="F5" s="34" t="s">
        <v>8</v>
      </c>
      <c r="G5" s="34" t="s">
        <v>345</v>
      </c>
    </row>
    <row r="6" spans="1:7" x14ac:dyDescent="0.35">
      <c r="A6" s="4" t="s">
        <v>10</v>
      </c>
      <c r="B6" s="3">
        <v>10</v>
      </c>
      <c r="C6" s="3">
        <v>5</v>
      </c>
      <c r="D6" s="3">
        <v>5</v>
      </c>
      <c r="E6" s="3">
        <v>130</v>
      </c>
      <c r="F6" s="3">
        <v>362</v>
      </c>
      <c r="G6" s="36">
        <v>1.78</v>
      </c>
    </row>
    <row r="7" spans="1:7" x14ac:dyDescent="0.35">
      <c r="A7" s="7" t="s">
        <v>40</v>
      </c>
      <c r="B7" s="6">
        <v>18</v>
      </c>
      <c r="C7" s="6">
        <v>5</v>
      </c>
      <c r="D7" s="6">
        <v>13</v>
      </c>
      <c r="E7" s="6">
        <v>430</v>
      </c>
      <c r="F7" s="6">
        <v>682</v>
      </c>
      <c r="G7" s="37">
        <v>0.59</v>
      </c>
    </row>
    <row r="8" spans="1:7" x14ac:dyDescent="0.35">
      <c r="A8" s="10" t="s">
        <v>97</v>
      </c>
      <c r="B8" s="9">
        <v>45</v>
      </c>
      <c r="C8" s="9">
        <v>18</v>
      </c>
      <c r="D8" s="9">
        <v>27</v>
      </c>
      <c r="E8" s="9">
        <v>860</v>
      </c>
      <c r="F8" s="9">
        <v>1583</v>
      </c>
      <c r="G8" s="38">
        <v>0.84</v>
      </c>
    </row>
    <row r="9" spans="1:7" x14ac:dyDescent="0.35">
      <c r="A9" s="13" t="s">
        <v>242</v>
      </c>
      <c r="B9" s="12">
        <v>10</v>
      </c>
      <c r="C9" s="12">
        <v>2</v>
      </c>
      <c r="D9" s="12">
        <v>8</v>
      </c>
      <c r="E9" s="12">
        <v>220</v>
      </c>
      <c r="F9" s="12">
        <v>381</v>
      </c>
      <c r="G9" s="39">
        <v>0.73</v>
      </c>
    </row>
    <row r="10" spans="1:7" x14ac:dyDescent="0.35">
      <c r="A10" s="16" t="s">
        <v>277</v>
      </c>
      <c r="B10" s="15">
        <v>8</v>
      </c>
      <c r="C10" s="15">
        <v>2</v>
      </c>
      <c r="D10" s="15">
        <v>6</v>
      </c>
      <c r="E10" s="15">
        <v>140</v>
      </c>
      <c r="F10" s="15">
        <v>267</v>
      </c>
      <c r="G10" s="40">
        <v>0.91</v>
      </c>
    </row>
    <row r="11" spans="1:7" x14ac:dyDescent="0.35">
      <c r="A11" s="19" t="s">
        <v>299</v>
      </c>
      <c r="B11" s="18">
        <v>4</v>
      </c>
      <c r="C11" s="18">
        <v>2</v>
      </c>
      <c r="D11" s="18">
        <v>2</v>
      </c>
      <c r="E11" s="18">
        <v>40</v>
      </c>
      <c r="F11" s="18">
        <v>131</v>
      </c>
      <c r="G11" s="41">
        <v>2.2799999999999998</v>
      </c>
    </row>
    <row r="12" spans="1:7" x14ac:dyDescent="0.35">
      <c r="A12" s="22" t="s">
        <v>313</v>
      </c>
      <c r="B12" s="21">
        <v>7</v>
      </c>
      <c r="C12" s="21">
        <v>2</v>
      </c>
      <c r="D12" s="21">
        <v>5</v>
      </c>
      <c r="E12" s="21">
        <v>460</v>
      </c>
      <c r="F12" s="21">
        <v>572</v>
      </c>
      <c r="G12" s="42">
        <v>0.24</v>
      </c>
    </row>
    <row r="13" spans="1:7" x14ac:dyDescent="0.35">
      <c r="A13" s="35" t="s">
        <v>346</v>
      </c>
      <c r="B13" s="34">
        <v>102</v>
      </c>
      <c r="C13" s="34">
        <v>36</v>
      </c>
      <c r="D13" s="34">
        <v>66</v>
      </c>
      <c r="E13" s="34">
        <v>2280</v>
      </c>
      <c r="F13" s="34">
        <v>3978</v>
      </c>
      <c r="G13" s="43">
        <v>0.74</v>
      </c>
    </row>
    <row r="16" spans="1:7" ht="16" x14ac:dyDescent="0.4">
      <c r="A16" s="59" t="s">
        <v>503</v>
      </c>
      <c r="B16" s="59"/>
      <c r="C16" s="59"/>
      <c r="D16" s="59"/>
    </row>
    <row r="17" spans="1:2" x14ac:dyDescent="0.35">
      <c r="A17" s="1" t="s">
        <v>357</v>
      </c>
      <c r="B17" s="1" t="s">
        <v>504</v>
      </c>
    </row>
    <row r="18" spans="1:2" x14ac:dyDescent="0.35">
      <c r="A18" s="1" t="s">
        <v>505</v>
      </c>
      <c r="B18">
        <v>58</v>
      </c>
    </row>
    <row r="19" spans="1:2" x14ac:dyDescent="0.35">
      <c r="A19" s="1" t="s">
        <v>506</v>
      </c>
      <c r="B19">
        <v>48</v>
      </c>
    </row>
    <row r="20" spans="1:2" x14ac:dyDescent="0.35">
      <c r="A20" s="1" t="s">
        <v>507</v>
      </c>
      <c r="B20">
        <v>54</v>
      </c>
    </row>
    <row r="21" spans="1:2" x14ac:dyDescent="0.35">
      <c r="A21" s="1" t="s">
        <v>508</v>
      </c>
      <c r="B21">
        <v>102</v>
      </c>
    </row>
    <row r="22" spans="1:2" x14ac:dyDescent="0.35">
      <c r="A22" s="1"/>
    </row>
    <row r="23" spans="1:2" x14ac:dyDescent="0.35">
      <c r="A23" s="1" t="s">
        <v>509</v>
      </c>
      <c r="B23">
        <v>2280</v>
      </c>
    </row>
    <row r="24" spans="1:2" x14ac:dyDescent="0.35">
      <c r="A24" s="1" t="s">
        <v>510</v>
      </c>
      <c r="B24">
        <v>3978</v>
      </c>
    </row>
    <row r="25" spans="1:2" x14ac:dyDescent="0.35">
      <c r="A25" s="1" t="s">
        <v>511</v>
      </c>
      <c r="B25" t="s">
        <v>519</v>
      </c>
    </row>
    <row r="26" spans="1:2" x14ac:dyDescent="0.35">
      <c r="A26" s="1" t="s">
        <v>512</v>
      </c>
      <c r="B26" s="62">
        <v>0.74</v>
      </c>
    </row>
    <row r="27" spans="1:2" x14ac:dyDescent="0.35">
      <c r="A27" s="1"/>
    </row>
    <row r="28" spans="1:2" x14ac:dyDescent="0.35">
      <c r="A28" s="1" t="s">
        <v>513</v>
      </c>
      <c r="B28" s="1">
        <v>6458</v>
      </c>
    </row>
    <row r="29" spans="1:2" x14ac:dyDescent="0.35">
      <c r="A29" s="1"/>
    </row>
    <row r="30" spans="1:2" x14ac:dyDescent="0.35">
      <c r="A30" s="1"/>
    </row>
    <row r="33" spans="1:6" ht="16" x14ac:dyDescent="0.4">
      <c r="A33" s="67" t="s">
        <v>347</v>
      </c>
      <c r="B33" s="67"/>
      <c r="C33" s="67"/>
      <c r="D33" s="67"/>
    </row>
    <row r="34" spans="1:6" x14ac:dyDescent="0.35">
      <c r="A34" s="66" t="s">
        <v>348</v>
      </c>
      <c r="B34" s="66"/>
      <c r="C34" s="66"/>
      <c r="D34" s="66"/>
      <c r="E34" s="66"/>
      <c r="F34" s="66"/>
    </row>
    <row r="35" spans="1:6" x14ac:dyDescent="0.35">
      <c r="A35" s="66" t="s">
        <v>349</v>
      </c>
      <c r="B35" s="66"/>
      <c r="C35" s="66"/>
      <c r="D35" s="66"/>
      <c r="E35" s="66"/>
      <c r="F35" s="66"/>
    </row>
    <row r="36" spans="1:6" x14ac:dyDescent="0.35">
      <c r="A36" s="66" t="s">
        <v>350</v>
      </c>
      <c r="B36" s="66"/>
      <c r="C36" s="66"/>
      <c r="D36" s="66"/>
      <c r="E36" s="66"/>
      <c r="F36" s="66"/>
    </row>
    <row r="37" spans="1:6" x14ac:dyDescent="0.35">
      <c r="A37" s="66" t="s">
        <v>351</v>
      </c>
      <c r="B37" s="66"/>
      <c r="C37" s="66"/>
      <c r="D37" s="66"/>
      <c r="E37" s="66"/>
      <c r="F37" s="66"/>
    </row>
    <row r="38" spans="1:6" x14ac:dyDescent="0.35">
      <c r="A38" s="66" t="s">
        <v>352</v>
      </c>
      <c r="B38" s="66"/>
      <c r="C38" s="66"/>
      <c r="D38" s="66"/>
      <c r="E38" s="66"/>
      <c r="F38" s="66"/>
    </row>
    <row r="39" spans="1:6" x14ac:dyDescent="0.35">
      <c r="A39" s="66" t="s">
        <v>353</v>
      </c>
      <c r="B39" s="66"/>
      <c r="C39" s="66"/>
      <c r="D39" s="66"/>
      <c r="E39" s="66"/>
      <c r="F39" s="66"/>
    </row>
    <row r="42" spans="1:6" ht="16" x14ac:dyDescent="0.4">
      <c r="A42" s="67" t="s">
        <v>354</v>
      </c>
      <c r="B42" s="67"/>
      <c r="C42" s="67"/>
      <c r="D42" s="67"/>
    </row>
    <row r="43" spans="1:6" x14ac:dyDescent="0.35">
      <c r="A43" s="44" t="s">
        <v>0</v>
      </c>
      <c r="B43" s="44" t="s">
        <v>4</v>
      </c>
      <c r="C43" s="44" t="s">
        <v>6</v>
      </c>
      <c r="D43" s="44" t="s">
        <v>9</v>
      </c>
    </row>
    <row r="44" spans="1:6" x14ac:dyDescent="0.35">
      <c r="A44">
        <v>44</v>
      </c>
      <c r="B44" t="s">
        <v>144</v>
      </c>
      <c r="C44" t="s">
        <v>145</v>
      </c>
      <c r="D44" t="s">
        <v>146</v>
      </c>
    </row>
    <row r="45" spans="1:6" x14ac:dyDescent="0.35">
      <c r="A45">
        <v>49</v>
      </c>
      <c r="B45" t="s">
        <v>160</v>
      </c>
      <c r="C45" t="s">
        <v>161</v>
      </c>
      <c r="D45" t="s">
        <v>162</v>
      </c>
    </row>
    <row r="46" spans="1:6" x14ac:dyDescent="0.35">
      <c r="A46">
        <v>69</v>
      </c>
      <c r="B46" t="s">
        <v>224</v>
      </c>
      <c r="C46" t="s">
        <v>225</v>
      </c>
      <c r="D46" t="s">
        <v>226</v>
      </c>
    </row>
    <row r="47" spans="1:6" x14ac:dyDescent="0.35">
      <c r="A47">
        <v>70</v>
      </c>
      <c r="B47" t="s">
        <v>229</v>
      </c>
      <c r="D47" t="s">
        <v>230</v>
      </c>
    </row>
    <row r="48" spans="1:6" x14ac:dyDescent="0.35">
      <c r="A48">
        <v>71</v>
      </c>
      <c r="B48" t="s">
        <v>232</v>
      </c>
      <c r="D48" t="s">
        <v>233</v>
      </c>
    </row>
    <row r="49" spans="1:4" x14ac:dyDescent="0.35">
      <c r="A49">
        <v>102</v>
      </c>
      <c r="B49" t="s">
        <v>340</v>
      </c>
      <c r="C49" t="s">
        <v>341</v>
      </c>
      <c r="D49" s="45" t="s">
        <v>342</v>
      </c>
    </row>
  </sheetData>
  <mergeCells count="9">
    <mergeCell ref="A37:F37"/>
    <mergeCell ref="A38:F38"/>
    <mergeCell ref="A39:F39"/>
    <mergeCell ref="A42:D42"/>
    <mergeCell ref="A1:F1"/>
    <mergeCell ref="A33:D33"/>
    <mergeCell ref="A34:F34"/>
    <mergeCell ref="A35:F35"/>
    <mergeCell ref="A36:F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68D2-9453-40AD-9562-24E135DC66FA}">
  <dimension ref="A1:G59"/>
  <sheetViews>
    <sheetView topLeftCell="A7" workbookViewId="0">
      <selection activeCell="A12" sqref="A9:XFD12"/>
    </sheetView>
  </sheetViews>
  <sheetFormatPr baseColWidth="10" defaultRowHeight="14.5" x14ac:dyDescent="0.35"/>
  <cols>
    <col min="1" max="1" width="42.6328125" customWidth="1"/>
    <col min="2" max="2" width="18.6328125" customWidth="1"/>
    <col min="3" max="3" width="20.6328125" customWidth="1"/>
    <col min="4" max="4" width="40.54296875" style="31" customWidth="1"/>
    <col min="5" max="5" width="23.1796875" style="31" customWidth="1"/>
    <col min="6" max="6" width="73.453125" style="31" customWidth="1"/>
  </cols>
  <sheetData>
    <row r="1" spans="1:7" ht="18.5" x14ac:dyDescent="0.45">
      <c r="A1" s="68" t="s">
        <v>434</v>
      </c>
      <c r="B1" s="68"/>
      <c r="C1" s="68"/>
      <c r="D1" s="68"/>
      <c r="E1" s="68"/>
      <c r="F1" s="68"/>
      <c r="G1" s="68"/>
    </row>
    <row r="2" spans="1:7" x14ac:dyDescent="0.35">
      <c r="A2" s="66" t="s">
        <v>514</v>
      </c>
      <c r="B2" s="66"/>
      <c r="C2" s="66"/>
      <c r="D2" s="66"/>
      <c r="E2" s="66"/>
      <c r="F2" s="66"/>
      <c r="G2" s="66"/>
    </row>
    <row r="4" spans="1:7" ht="16" x14ac:dyDescent="0.4">
      <c r="A4" s="67" t="s">
        <v>355</v>
      </c>
      <c r="B4" s="67"/>
      <c r="C4" s="67"/>
      <c r="D4" s="67"/>
      <c r="E4" s="67"/>
      <c r="F4" s="67"/>
    </row>
    <row r="5" spans="1:7" x14ac:dyDescent="0.35">
      <c r="A5" s="34" t="s">
        <v>356</v>
      </c>
      <c r="B5" s="34" t="s">
        <v>406</v>
      </c>
      <c r="C5" s="34" t="s">
        <v>407</v>
      </c>
      <c r="D5" s="2" t="s">
        <v>363</v>
      </c>
      <c r="E5" s="2" t="s">
        <v>364</v>
      </c>
      <c r="F5" s="2" t="s">
        <v>357</v>
      </c>
    </row>
    <row r="6" spans="1:7" ht="29" x14ac:dyDescent="0.35">
      <c r="A6" s="46" t="s">
        <v>358</v>
      </c>
      <c r="B6" s="47">
        <v>2728</v>
      </c>
      <c r="C6" s="47" t="s">
        <v>520</v>
      </c>
      <c r="D6" s="49">
        <v>2</v>
      </c>
      <c r="E6" s="57" t="s">
        <v>435</v>
      </c>
      <c r="F6" s="57" t="s">
        <v>521</v>
      </c>
    </row>
    <row r="7" spans="1:7" x14ac:dyDescent="0.35">
      <c r="A7" s="46" t="s">
        <v>359</v>
      </c>
      <c r="B7" s="47">
        <v>1250</v>
      </c>
      <c r="C7" s="47" t="s">
        <v>522</v>
      </c>
      <c r="D7" s="49">
        <v>1</v>
      </c>
      <c r="E7" s="57" t="s">
        <v>435</v>
      </c>
      <c r="F7" s="57" t="s">
        <v>523</v>
      </c>
    </row>
    <row r="8" spans="1:7" ht="29" x14ac:dyDescent="0.35">
      <c r="A8" s="46" t="s">
        <v>422</v>
      </c>
      <c r="B8" s="47">
        <v>180</v>
      </c>
      <c r="C8" s="47" t="s">
        <v>524</v>
      </c>
      <c r="D8" s="49">
        <v>1</v>
      </c>
      <c r="E8" s="57" t="s">
        <v>436</v>
      </c>
      <c r="F8" s="57" t="s">
        <v>437</v>
      </c>
    </row>
    <row r="9" spans="1:7" ht="29" x14ac:dyDescent="0.35">
      <c r="A9" s="46" t="s">
        <v>423</v>
      </c>
      <c r="B9" s="47">
        <v>310</v>
      </c>
      <c r="C9" s="47" t="s">
        <v>525</v>
      </c>
      <c r="D9" s="49">
        <v>1</v>
      </c>
      <c r="E9" s="57" t="s">
        <v>438</v>
      </c>
      <c r="F9" s="57" t="s">
        <v>439</v>
      </c>
    </row>
    <row r="10" spans="1:7" ht="29" x14ac:dyDescent="0.35">
      <c r="A10" s="46" t="s">
        <v>330</v>
      </c>
      <c r="B10" s="47">
        <v>1200</v>
      </c>
      <c r="C10" s="47" t="s">
        <v>526</v>
      </c>
      <c r="D10" s="49">
        <v>1</v>
      </c>
      <c r="E10" s="57" t="s">
        <v>435</v>
      </c>
      <c r="F10" s="57" t="s">
        <v>440</v>
      </c>
    </row>
    <row r="11" spans="1:7" ht="58" x14ac:dyDescent="0.35">
      <c r="A11" s="46" t="s">
        <v>360</v>
      </c>
      <c r="B11" s="47">
        <v>350</v>
      </c>
      <c r="C11" s="47" t="s">
        <v>527</v>
      </c>
      <c r="D11" s="49">
        <v>1</v>
      </c>
      <c r="E11" s="57" t="s">
        <v>441</v>
      </c>
      <c r="F11" s="57" t="s">
        <v>442</v>
      </c>
    </row>
    <row r="12" spans="1:7" x14ac:dyDescent="0.35">
      <c r="A12" s="46" t="s">
        <v>361</v>
      </c>
      <c r="B12" s="47">
        <v>440</v>
      </c>
      <c r="C12" s="47" t="s">
        <v>528</v>
      </c>
      <c r="D12" s="49">
        <v>1</v>
      </c>
      <c r="E12" s="57" t="s">
        <v>441</v>
      </c>
      <c r="F12" s="57" t="s">
        <v>424</v>
      </c>
    </row>
    <row r="13" spans="1:7" x14ac:dyDescent="0.35">
      <c r="A13" s="35" t="s">
        <v>362</v>
      </c>
      <c r="B13" s="34">
        <v>6458</v>
      </c>
      <c r="C13" s="43">
        <v>1</v>
      </c>
      <c r="D13" s="2">
        <v>8</v>
      </c>
      <c r="E13" s="58" t="s">
        <v>515</v>
      </c>
      <c r="F13" s="58"/>
    </row>
    <row r="16" spans="1:7" ht="16" x14ac:dyDescent="0.4">
      <c r="A16" s="67" t="s">
        <v>443</v>
      </c>
      <c r="B16" s="67"/>
      <c r="C16" s="67"/>
      <c r="D16" s="67"/>
      <c r="E16" s="67"/>
      <c r="F16" s="67"/>
    </row>
    <row r="17" spans="1:6" x14ac:dyDescent="0.35">
      <c r="A17" s="66" t="s">
        <v>516</v>
      </c>
      <c r="B17" s="66"/>
      <c r="C17" s="66"/>
      <c r="D17" s="66"/>
      <c r="E17" s="66"/>
      <c r="F17" s="66"/>
    </row>
    <row r="18" spans="1:6" x14ac:dyDescent="0.35">
      <c r="A18" s="34" t="s">
        <v>356</v>
      </c>
      <c r="B18" s="34" t="s">
        <v>408</v>
      </c>
      <c r="C18" s="34" t="s">
        <v>409</v>
      </c>
      <c r="D18" s="2" t="s">
        <v>398</v>
      </c>
      <c r="E18" s="2" t="s">
        <v>371</v>
      </c>
      <c r="F18" s="2" t="s">
        <v>365</v>
      </c>
    </row>
    <row r="19" spans="1:6" ht="29" x14ac:dyDescent="0.35">
      <c r="A19" s="4" t="s">
        <v>423</v>
      </c>
      <c r="B19" s="3">
        <v>310</v>
      </c>
      <c r="C19" s="3">
        <v>155</v>
      </c>
      <c r="D19" s="50" t="s">
        <v>425</v>
      </c>
      <c r="E19" s="50" t="s">
        <v>444</v>
      </c>
      <c r="F19" s="24" t="s">
        <v>445</v>
      </c>
    </row>
    <row r="20" spans="1:6" ht="29" x14ac:dyDescent="0.35">
      <c r="A20" s="4" t="s">
        <v>360</v>
      </c>
      <c r="B20" s="3">
        <v>350</v>
      </c>
      <c r="C20" s="3">
        <v>32</v>
      </c>
      <c r="D20" s="50" t="s">
        <v>446</v>
      </c>
      <c r="E20" s="50" t="s">
        <v>447</v>
      </c>
      <c r="F20" s="24" t="s">
        <v>448</v>
      </c>
    </row>
    <row r="21" spans="1:6" x14ac:dyDescent="0.35">
      <c r="A21" s="4" t="s">
        <v>361</v>
      </c>
      <c r="B21" s="3">
        <v>440</v>
      </c>
      <c r="C21" s="3">
        <v>40</v>
      </c>
      <c r="D21" s="50" t="s">
        <v>446</v>
      </c>
      <c r="E21" s="50" t="s">
        <v>449</v>
      </c>
      <c r="F21" s="24" t="s">
        <v>450</v>
      </c>
    </row>
    <row r="22" spans="1:6" ht="29" x14ac:dyDescent="0.35">
      <c r="A22" s="10" t="s">
        <v>422</v>
      </c>
      <c r="B22" s="9">
        <v>180</v>
      </c>
      <c r="C22" s="9">
        <v>103</v>
      </c>
      <c r="D22" s="52" t="s">
        <v>451</v>
      </c>
      <c r="E22" s="52" t="s">
        <v>452</v>
      </c>
      <c r="F22" s="26" t="s">
        <v>453</v>
      </c>
    </row>
    <row r="23" spans="1:6" ht="29" x14ac:dyDescent="0.35">
      <c r="A23" s="46" t="s">
        <v>394</v>
      </c>
      <c r="B23" s="47">
        <v>1364</v>
      </c>
      <c r="C23" s="47">
        <v>152</v>
      </c>
      <c r="D23" s="49" t="s">
        <v>454</v>
      </c>
      <c r="E23" s="49" t="s">
        <v>455</v>
      </c>
      <c r="F23" s="57" t="s">
        <v>529</v>
      </c>
    </row>
    <row r="24" spans="1:6" ht="29" x14ac:dyDescent="0.35">
      <c r="A24" s="46" t="s">
        <v>395</v>
      </c>
      <c r="B24" s="47">
        <v>1364</v>
      </c>
      <c r="C24" s="47">
        <v>152</v>
      </c>
      <c r="D24" s="49" t="s">
        <v>454</v>
      </c>
      <c r="E24" s="49" t="s">
        <v>455</v>
      </c>
      <c r="F24" s="57" t="s">
        <v>530</v>
      </c>
    </row>
    <row r="25" spans="1:6" x14ac:dyDescent="0.35">
      <c r="A25" s="46" t="s">
        <v>366</v>
      </c>
      <c r="B25" s="47">
        <v>1250</v>
      </c>
      <c r="C25" s="47">
        <v>139</v>
      </c>
      <c r="D25" s="49" t="s">
        <v>454</v>
      </c>
      <c r="E25" s="49" t="s">
        <v>455</v>
      </c>
      <c r="F25" s="57" t="s">
        <v>410</v>
      </c>
    </row>
    <row r="26" spans="1:6" ht="29" x14ac:dyDescent="0.35">
      <c r="A26" s="46" t="s">
        <v>330</v>
      </c>
      <c r="B26" s="47">
        <v>1200</v>
      </c>
      <c r="C26" s="47">
        <v>133</v>
      </c>
      <c r="D26" s="49" t="s">
        <v>454</v>
      </c>
      <c r="E26" s="49" t="s">
        <v>456</v>
      </c>
      <c r="F26" s="57" t="s">
        <v>457</v>
      </c>
    </row>
    <row r="27" spans="1:6" x14ac:dyDescent="0.35">
      <c r="A27" s="35" t="s">
        <v>367</v>
      </c>
      <c r="B27" s="34">
        <v>6458</v>
      </c>
      <c r="C27" s="34" t="s">
        <v>517</v>
      </c>
      <c r="D27" s="2"/>
      <c r="E27" s="2"/>
      <c r="F27" s="58"/>
    </row>
    <row r="29" spans="1:6" ht="16" x14ac:dyDescent="0.4">
      <c r="A29" s="67" t="s">
        <v>426</v>
      </c>
      <c r="B29" s="67"/>
      <c r="C29" s="67"/>
      <c r="D29" s="67"/>
      <c r="E29" s="67"/>
      <c r="F29" s="67"/>
    </row>
    <row r="30" spans="1:6" x14ac:dyDescent="0.35">
      <c r="A30" s="34" t="s">
        <v>1</v>
      </c>
      <c r="B30" s="34" t="s">
        <v>344</v>
      </c>
      <c r="C30" s="34" t="s">
        <v>368</v>
      </c>
      <c r="D30" s="2" t="s">
        <v>369</v>
      </c>
      <c r="E30" s="2" t="s">
        <v>370</v>
      </c>
      <c r="F30" s="2" t="s">
        <v>458</v>
      </c>
    </row>
    <row r="31" spans="1:6" x14ac:dyDescent="0.35">
      <c r="A31" s="4" t="s">
        <v>10</v>
      </c>
      <c r="B31" s="3">
        <v>10</v>
      </c>
      <c r="C31" s="3">
        <v>162</v>
      </c>
      <c r="D31" s="50">
        <v>200</v>
      </c>
      <c r="E31" s="50">
        <v>362</v>
      </c>
      <c r="F31" s="24" t="s">
        <v>459</v>
      </c>
    </row>
    <row r="32" spans="1:6" x14ac:dyDescent="0.35">
      <c r="A32" s="7" t="s">
        <v>40</v>
      </c>
      <c r="B32" s="6">
        <v>18</v>
      </c>
      <c r="C32" s="6">
        <v>227</v>
      </c>
      <c r="D32" s="51">
        <v>455</v>
      </c>
      <c r="E32" s="51">
        <v>682</v>
      </c>
      <c r="F32" s="25" t="s">
        <v>460</v>
      </c>
    </row>
    <row r="33" spans="1:6" x14ac:dyDescent="0.35">
      <c r="A33" s="10" t="s">
        <v>97</v>
      </c>
      <c r="B33" s="9">
        <v>45</v>
      </c>
      <c r="C33" s="9">
        <v>458</v>
      </c>
      <c r="D33" s="52">
        <v>1125</v>
      </c>
      <c r="E33" s="52">
        <v>1583</v>
      </c>
      <c r="F33" s="26" t="s">
        <v>461</v>
      </c>
    </row>
    <row r="34" spans="1:6" x14ac:dyDescent="0.35">
      <c r="A34" s="13" t="s">
        <v>242</v>
      </c>
      <c r="B34" s="12">
        <v>10</v>
      </c>
      <c r="C34" s="12">
        <v>38</v>
      </c>
      <c r="D34" s="53">
        <v>343</v>
      </c>
      <c r="E34" s="53">
        <v>381</v>
      </c>
      <c r="F34" s="27" t="s">
        <v>462</v>
      </c>
    </row>
    <row r="35" spans="1:6" x14ac:dyDescent="0.35">
      <c r="A35" s="16" t="s">
        <v>277</v>
      </c>
      <c r="B35" s="15">
        <v>8</v>
      </c>
      <c r="C35" s="15">
        <v>80</v>
      </c>
      <c r="D35" s="54">
        <v>187</v>
      </c>
      <c r="E35" s="54">
        <v>267</v>
      </c>
      <c r="F35" s="28" t="s">
        <v>462</v>
      </c>
    </row>
    <row r="36" spans="1:6" x14ac:dyDescent="0.35">
      <c r="A36" s="19" t="s">
        <v>299</v>
      </c>
      <c r="B36" s="18">
        <v>4</v>
      </c>
      <c r="C36" s="18">
        <v>51</v>
      </c>
      <c r="D36" s="55">
        <v>80</v>
      </c>
      <c r="E36" s="55">
        <v>131</v>
      </c>
      <c r="F36" s="29" t="s">
        <v>463</v>
      </c>
    </row>
    <row r="37" spans="1:6" x14ac:dyDescent="0.35">
      <c r="A37" s="22" t="s">
        <v>313</v>
      </c>
      <c r="B37" s="21">
        <v>7</v>
      </c>
      <c r="C37" s="21">
        <v>234</v>
      </c>
      <c r="D37" s="56">
        <v>338</v>
      </c>
      <c r="E37" s="56">
        <v>572</v>
      </c>
      <c r="F37" s="30" t="s">
        <v>463</v>
      </c>
    </row>
    <row r="38" spans="1:6" x14ac:dyDescent="0.35">
      <c r="A38" s="35" t="s">
        <v>346</v>
      </c>
      <c r="B38" s="34">
        <v>102</v>
      </c>
      <c r="C38" s="34">
        <v>1250</v>
      </c>
      <c r="D38" s="2">
        <v>2728</v>
      </c>
      <c r="E38" s="2">
        <v>3978</v>
      </c>
      <c r="F38" s="58"/>
    </row>
    <row r="40" spans="1:6" ht="16" x14ac:dyDescent="0.4">
      <c r="A40" s="67" t="s">
        <v>464</v>
      </c>
      <c r="B40" s="67"/>
      <c r="C40" s="67"/>
      <c r="D40" s="67"/>
      <c r="E40" s="67"/>
      <c r="F40" s="67"/>
    </row>
    <row r="41" spans="1:6" x14ac:dyDescent="0.35">
      <c r="A41" s="34" t="s">
        <v>371</v>
      </c>
      <c r="B41" s="34" t="s">
        <v>372</v>
      </c>
      <c r="C41" s="34" t="s">
        <v>374</v>
      </c>
      <c r="D41" s="2" t="s">
        <v>373</v>
      </c>
      <c r="E41" s="2" t="s">
        <v>375</v>
      </c>
    </row>
    <row r="42" spans="1:6" ht="43.5" x14ac:dyDescent="0.35">
      <c r="A42" s="46" t="s">
        <v>465</v>
      </c>
      <c r="B42" s="46" t="s">
        <v>427</v>
      </c>
      <c r="C42" s="47">
        <v>500</v>
      </c>
      <c r="D42" s="57" t="s">
        <v>466</v>
      </c>
      <c r="E42" s="57" t="s">
        <v>467</v>
      </c>
    </row>
    <row r="43" spans="1:6" ht="29" x14ac:dyDescent="0.35">
      <c r="A43" s="46" t="s">
        <v>468</v>
      </c>
      <c r="B43" s="46" t="s">
        <v>386</v>
      </c>
      <c r="C43" s="47">
        <v>610</v>
      </c>
      <c r="D43" s="57" t="s">
        <v>469</v>
      </c>
      <c r="E43" s="57" t="s">
        <v>470</v>
      </c>
    </row>
    <row r="44" spans="1:6" ht="43.5" x14ac:dyDescent="0.35">
      <c r="A44" s="46" t="s">
        <v>376</v>
      </c>
      <c r="B44" s="46" t="s">
        <v>471</v>
      </c>
      <c r="C44" s="47">
        <v>1044</v>
      </c>
      <c r="D44" s="57" t="s">
        <v>428</v>
      </c>
      <c r="E44" s="57" t="s">
        <v>472</v>
      </c>
    </row>
    <row r="45" spans="1:6" ht="43.5" x14ac:dyDescent="0.35">
      <c r="A45" s="46" t="s">
        <v>377</v>
      </c>
      <c r="B45" s="46" t="s">
        <v>473</v>
      </c>
      <c r="C45" s="47">
        <v>1583</v>
      </c>
      <c r="D45" s="57" t="s">
        <v>378</v>
      </c>
      <c r="E45" s="57" t="s">
        <v>411</v>
      </c>
    </row>
    <row r="46" spans="1:6" ht="29" x14ac:dyDescent="0.35">
      <c r="A46" s="46" t="s">
        <v>379</v>
      </c>
      <c r="B46" s="46" t="s">
        <v>401</v>
      </c>
      <c r="C46" s="47">
        <v>648</v>
      </c>
      <c r="D46" s="57" t="s">
        <v>380</v>
      </c>
      <c r="E46" s="57" t="s">
        <v>411</v>
      </c>
    </row>
    <row r="47" spans="1:6" ht="29" x14ac:dyDescent="0.35">
      <c r="A47" s="46" t="s">
        <v>399</v>
      </c>
      <c r="B47" s="46" t="s">
        <v>474</v>
      </c>
      <c r="C47" s="47">
        <v>703</v>
      </c>
      <c r="D47" s="57" t="s">
        <v>381</v>
      </c>
      <c r="E47" s="57" t="s">
        <v>411</v>
      </c>
    </row>
    <row r="48" spans="1:6" ht="29" x14ac:dyDescent="0.35">
      <c r="A48" s="46" t="s">
        <v>400</v>
      </c>
      <c r="B48" s="46" t="s">
        <v>475</v>
      </c>
      <c r="C48" s="47">
        <v>488</v>
      </c>
      <c r="D48" s="57" t="s">
        <v>429</v>
      </c>
      <c r="E48" s="57" t="s">
        <v>430</v>
      </c>
    </row>
    <row r="51" spans="1:3" ht="16" x14ac:dyDescent="0.4">
      <c r="A51" s="67" t="s">
        <v>431</v>
      </c>
      <c r="B51" s="67"/>
      <c r="C51" s="67"/>
    </row>
    <row r="52" spans="1:3" x14ac:dyDescent="0.35">
      <c r="A52" s="35" t="s">
        <v>382</v>
      </c>
      <c r="B52" s="35" t="s">
        <v>412</v>
      </c>
      <c r="C52" s="35" t="s">
        <v>383</v>
      </c>
    </row>
    <row r="53" spans="1:3" x14ac:dyDescent="0.35">
      <c r="A53" s="48" t="s">
        <v>413</v>
      </c>
      <c r="B53" s="48" t="s">
        <v>476</v>
      </c>
      <c r="C53" s="48" t="s">
        <v>477</v>
      </c>
    </row>
    <row r="54" spans="1:3" x14ac:dyDescent="0.35">
      <c r="A54" s="46" t="s">
        <v>414</v>
      </c>
      <c r="B54" s="46" t="s">
        <v>478</v>
      </c>
      <c r="C54" s="46" t="s">
        <v>479</v>
      </c>
    </row>
    <row r="55" spans="1:3" x14ac:dyDescent="0.35">
      <c r="A55" s="48" t="s">
        <v>480</v>
      </c>
      <c r="B55" s="48" t="s">
        <v>481</v>
      </c>
      <c r="C55" s="48" t="s">
        <v>482</v>
      </c>
    </row>
    <row r="56" spans="1:3" x14ac:dyDescent="0.35">
      <c r="A56" s="46" t="s">
        <v>415</v>
      </c>
      <c r="B56" s="46" t="s">
        <v>416</v>
      </c>
      <c r="C56" s="46" t="s">
        <v>483</v>
      </c>
    </row>
    <row r="57" spans="1:3" x14ac:dyDescent="0.35">
      <c r="A57" s="48" t="s">
        <v>402</v>
      </c>
      <c r="B57" s="48" t="s">
        <v>417</v>
      </c>
      <c r="C57" s="48" t="s">
        <v>484</v>
      </c>
    </row>
    <row r="58" spans="1:3" x14ac:dyDescent="0.35">
      <c r="A58" s="46" t="s">
        <v>418</v>
      </c>
      <c r="B58" s="46" t="s">
        <v>432</v>
      </c>
      <c r="C58" s="46" t="s">
        <v>485</v>
      </c>
    </row>
    <row r="59" spans="1:3" x14ac:dyDescent="0.35">
      <c r="A59" s="48" t="s">
        <v>486</v>
      </c>
      <c r="B59" s="48" t="s">
        <v>487</v>
      </c>
      <c r="C59" s="48" t="s">
        <v>488</v>
      </c>
    </row>
  </sheetData>
  <mergeCells count="8">
    <mergeCell ref="A40:F40"/>
    <mergeCell ref="A51:C51"/>
    <mergeCell ref="A1:G1"/>
    <mergeCell ref="A2:G2"/>
    <mergeCell ref="A4:F4"/>
    <mergeCell ref="A16:F16"/>
    <mergeCell ref="A17:F17"/>
    <mergeCell ref="A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3BF8-3712-4B52-8271-E3AA297B7ED1}">
  <dimension ref="A1:O26"/>
  <sheetViews>
    <sheetView workbookViewId="0">
      <selection activeCell="P7" sqref="P7"/>
    </sheetView>
  </sheetViews>
  <sheetFormatPr baseColWidth="10" defaultRowHeight="14.5" x14ac:dyDescent="0.35"/>
  <cols>
    <col min="1" max="1" width="28.6328125" customWidth="1"/>
    <col min="2" max="2" width="3.6328125" customWidth="1"/>
    <col min="3" max="13" width="8.6328125" customWidth="1"/>
    <col min="14" max="14" width="10.6328125" customWidth="1"/>
    <col min="15" max="15" width="8.6328125" customWidth="1"/>
  </cols>
  <sheetData>
    <row r="1" spans="1:15" ht="18.5" x14ac:dyDescent="0.45">
      <c r="A1" s="68" t="s">
        <v>492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x14ac:dyDescent="0.35">
      <c r="A2" s="69" t="s">
        <v>493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35">
      <c r="A4" s="61" t="s">
        <v>494</v>
      </c>
      <c r="B4" s="61"/>
      <c r="C4" s="61" t="s">
        <v>384</v>
      </c>
      <c r="D4" s="61" t="s">
        <v>385</v>
      </c>
      <c r="E4" s="61" t="s">
        <v>386</v>
      </c>
      <c r="F4" s="61" t="s">
        <v>387</v>
      </c>
      <c r="G4" s="61" t="s">
        <v>388</v>
      </c>
      <c r="H4" s="61" t="s">
        <v>389</v>
      </c>
      <c r="I4" s="61" t="s">
        <v>390</v>
      </c>
      <c r="J4" s="61" t="s">
        <v>391</v>
      </c>
      <c r="K4" s="61" t="s">
        <v>392</v>
      </c>
      <c r="L4" s="61" t="s">
        <v>489</v>
      </c>
      <c r="M4" s="61" t="s">
        <v>490</v>
      </c>
      <c r="N4" s="61" t="s">
        <v>393</v>
      </c>
      <c r="O4" s="61" t="s">
        <v>495</v>
      </c>
    </row>
    <row r="5" spans="1:15" x14ac:dyDescent="0.35">
      <c r="A5" t="s">
        <v>496</v>
      </c>
      <c r="C5" s="64">
        <v>155</v>
      </c>
      <c r="D5" s="64">
        <v>155</v>
      </c>
      <c r="E5" s="64"/>
      <c r="F5" s="64"/>
      <c r="G5" s="64"/>
      <c r="H5" s="64"/>
      <c r="I5" s="64"/>
      <c r="J5" s="64"/>
      <c r="K5" s="64"/>
      <c r="L5" s="64"/>
      <c r="M5" s="64"/>
      <c r="N5" s="64">
        <f>SUM(C5:M5)</f>
        <v>310</v>
      </c>
      <c r="O5" s="65">
        <v>0.05</v>
      </c>
    </row>
    <row r="6" spans="1:15" x14ac:dyDescent="0.35">
      <c r="A6" t="s">
        <v>360</v>
      </c>
      <c r="C6" s="64">
        <v>35</v>
      </c>
      <c r="D6" s="64">
        <v>35</v>
      </c>
      <c r="E6" s="64">
        <v>30</v>
      </c>
      <c r="F6" s="64">
        <v>30</v>
      </c>
      <c r="G6" s="64">
        <v>30</v>
      </c>
      <c r="H6" s="64">
        <v>30</v>
      </c>
      <c r="I6" s="64">
        <v>30</v>
      </c>
      <c r="J6" s="64">
        <v>30</v>
      </c>
      <c r="K6" s="64">
        <v>30</v>
      </c>
      <c r="L6" s="64">
        <v>35</v>
      </c>
      <c r="M6" s="64">
        <v>35</v>
      </c>
      <c r="N6" s="64">
        <f>SUM(C6:M6)</f>
        <v>350</v>
      </c>
      <c r="O6" s="65">
        <v>0.05</v>
      </c>
    </row>
    <row r="7" spans="1:15" x14ac:dyDescent="0.35">
      <c r="A7" t="s">
        <v>361</v>
      </c>
      <c r="C7" s="64">
        <v>40</v>
      </c>
      <c r="D7" s="64">
        <v>40</v>
      </c>
      <c r="E7" s="64">
        <v>40</v>
      </c>
      <c r="F7" s="64">
        <v>40</v>
      </c>
      <c r="G7" s="64">
        <v>40</v>
      </c>
      <c r="H7" s="64">
        <v>40</v>
      </c>
      <c r="I7" s="64">
        <v>40</v>
      </c>
      <c r="J7" s="64">
        <v>40</v>
      </c>
      <c r="K7" s="64">
        <v>40</v>
      </c>
      <c r="L7" s="64">
        <v>40</v>
      </c>
      <c r="M7" s="64">
        <v>40</v>
      </c>
      <c r="N7" s="64">
        <f>SUM(C7:M7)</f>
        <v>440</v>
      </c>
      <c r="O7" s="65">
        <v>7.0000000000000007E-2</v>
      </c>
    </row>
    <row r="8" spans="1:15" x14ac:dyDescent="0.35">
      <c r="A8" t="s">
        <v>422</v>
      </c>
      <c r="C8" s="64"/>
      <c r="D8" s="64"/>
      <c r="E8" s="64">
        <v>90</v>
      </c>
      <c r="F8" s="64">
        <v>90</v>
      </c>
      <c r="G8" s="64"/>
      <c r="H8" s="64"/>
      <c r="I8" s="64"/>
      <c r="J8" s="64"/>
      <c r="K8" s="64"/>
      <c r="L8" s="64"/>
      <c r="M8" s="64"/>
      <c r="N8" s="64">
        <f>SUM(C8:M8)</f>
        <v>180</v>
      </c>
      <c r="O8" s="65">
        <v>0.03</v>
      </c>
    </row>
    <row r="9" spans="1:15" x14ac:dyDescent="0.35">
      <c r="A9" t="s">
        <v>419</v>
      </c>
      <c r="C9" s="64"/>
      <c r="D9" s="64"/>
      <c r="E9" s="64">
        <v>130</v>
      </c>
      <c r="F9" s="64">
        <v>155</v>
      </c>
      <c r="G9" s="64">
        <v>155</v>
      </c>
      <c r="H9" s="64">
        <v>155</v>
      </c>
      <c r="I9" s="64">
        <v>155</v>
      </c>
      <c r="J9" s="64">
        <v>155</v>
      </c>
      <c r="K9" s="64">
        <v>155</v>
      </c>
      <c r="L9" s="64">
        <v>155</v>
      </c>
      <c r="M9" s="64">
        <v>149</v>
      </c>
      <c r="N9" s="64">
        <f>SUM(C9:M9)</f>
        <v>1364</v>
      </c>
      <c r="O9" s="65">
        <v>0.21</v>
      </c>
    </row>
    <row r="10" spans="1:15" x14ac:dyDescent="0.35">
      <c r="A10" t="s">
        <v>420</v>
      </c>
      <c r="C10" s="64"/>
      <c r="D10" s="64"/>
      <c r="E10" s="64">
        <v>130</v>
      </c>
      <c r="F10" s="64">
        <v>155</v>
      </c>
      <c r="G10" s="64">
        <v>155</v>
      </c>
      <c r="H10" s="64">
        <v>155</v>
      </c>
      <c r="I10" s="64">
        <v>155</v>
      </c>
      <c r="J10" s="64">
        <v>155</v>
      </c>
      <c r="K10" s="64">
        <v>155</v>
      </c>
      <c r="L10" s="64">
        <v>155</v>
      </c>
      <c r="M10" s="64">
        <v>149</v>
      </c>
      <c r="N10" s="64">
        <f>SUM(C10:M10)</f>
        <v>1364</v>
      </c>
      <c r="O10" s="65">
        <v>0.21</v>
      </c>
    </row>
    <row r="11" spans="1:15" x14ac:dyDescent="0.35">
      <c r="A11" t="s">
        <v>421</v>
      </c>
      <c r="C11" s="64"/>
      <c r="D11" s="64"/>
      <c r="E11" s="64">
        <v>110</v>
      </c>
      <c r="F11" s="64">
        <v>140</v>
      </c>
      <c r="G11" s="64">
        <v>145</v>
      </c>
      <c r="H11" s="64">
        <v>145</v>
      </c>
      <c r="I11" s="64">
        <v>145</v>
      </c>
      <c r="J11" s="64">
        <v>145</v>
      </c>
      <c r="K11" s="64">
        <v>145</v>
      </c>
      <c r="L11" s="64">
        <v>145</v>
      </c>
      <c r="M11" s="64">
        <v>130</v>
      </c>
      <c r="N11" s="64">
        <f>SUM(C11:M11)</f>
        <v>1250</v>
      </c>
      <c r="O11" s="65">
        <v>0.19</v>
      </c>
    </row>
    <row r="12" spans="1:15" x14ac:dyDescent="0.35">
      <c r="A12" t="s">
        <v>433</v>
      </c>
      <c r="C12" s="64"/>
      <c r="D12" s="64"/>
      <c r="E12" s="64">
        <v>80</v>
      </c>
      <c r="F12" s="64">
        <v>120</v>
      </c>
      <c r="G12" s="64">
        <v>150</v>
      </c>
      <c r="H12" s="64">
        <v>155</v>
      </c>
      <c r="I12" s="64">
        <v>155</v>
      </c>
      <c r="J12" s="64">
        <v>155</v>
      </c>
      <c r="K12" s="64">
        <v>145</v>
      </c>
      <c r="L12" s="64">
        <v>130</v>
      </c>
      <c r="M12" s="64">
        <v>110</v>
      </c>
      <c r="N12" s="64">
        <f>SUM(C12:M12)</f>
        <v>1200</v>
      </c>
      <c r="O12" s="65">
        <v>0.19</v>
      </c>
    </row>
    <row r="13" spans="1:15" x14ac:dyDescent="0.35">
      <c r="A13" s="60" t="s">
        <v>497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5" x14ac:dyDescent="0.35">
      <c r="A14" s="1" t="s">
        <v>396</v>
      </c>
      <c r="C14" s="64">
        <f>SUM(C5:C12)</f>
        <v>230</v>
      </c>
      <c r="D14" s="64">
        <f>SUM(D5:D12)</f>
        <v>230</v>
      </c>
      <c r="E14" s="64">
        <f>SUM(E5:E12)</f>
        <v>610</v>
      </c>
      <c r="F14" s="64">
        <f>SUM(F5:F12)</f>
        <v>730</v>
      </c>
      <c r="G14" s="64">
        <f>SUM(G5:G12)</f>
        <v>675</v>
      </c>
      <c r="H14" s="64">
        <f>SUM(H5:H12)</f>
        <v>680</v>
      </c>
      <c r="I14" s="64">
        <f>SUM(I5:I12)</f>
        <v>680</v>
      </c>
      <c r="J14" s="64">
        <f>SUM(J5:J12)</f>
        <v>680</v>
      </c>
      <c r="K14" s="64">
        <f>SUM(K5:K12)</f>
        <v>670</v>
      </c>
      <c r="L14" s="64">
        <f>SUM(L5:L12)</f>
        <v>660</v>
      </c>
      <c r="M14" s="64">
        <f>SUM(M5:M12)</f>
        <v>613</v>
      </c>
      <c r="N14" s="64">
        <f>SUM(N5:N12)</f>
        <v>6458</v>
      </c>
      <c r="O14" s="64"/>
    </row>
    <row r="15" spans="1:15" x14ac:dyDescent="0.35">
      <c r="A15" t="s">
        <v>397</v>
      </c>
      <c r="C15" s="64">
        <v>3</v>
      </c>
      <c r="D15" s="64">
        <v>3</v>
      </c>
      <c r="E15" s="64">
        <v>7</v>
      </c>
      <c r="F15" s="64">
        <v>7</v>
      </c>
      <c r="G15" s="64">
        <v>6</v>
      </c>
      <c r="H15" s="64">
        <v>6</v>
      </c>
      <c r="I15" s="64">
        <v>6</v>
      </c>
      <c r="J15" s="64">
        <v>6</v>
      </c>
      <c r="K15" s="64">
        <v>6</v>
      </c>
      <c r="L15" s="64">
        <v>6</v>
      </c>
      <c r="M15" s="64">
        <v>6</v>
      </c>
      <c r="N15" s="64"/>
      <c r="O15" s="64"/>
    </row>
    <row r="18" spans="1:13" x14ac:dyDescent="0.35">
      <c r="A18" s="1" t="s">
        <v>491</v>
      </c>
    </row>
    <row r="19" spans="1:13" x14ac:dyDescent="0.35">
      <c r="A19" t="s">
        <v>371</v>
      </c>
      <c r="C19" t="s">
        <v>384</v>
      </c>
      <c r="D19" t="s">
        <v>385</v>
      </c>
      <c r="E19" t="s">
        <v>386</v>
      </c>
      <c r="F19" t="s">
        <v>387</v>
      </c>
      <c r="G19" t="s">
        <v>388</v>
      </c>
      <c r="H19" t="s">
        <v>389</v>
      </c>
      <c r="I19" t="s">
        <v>390</v>
      </c>
      <c r="J19" t="s">
        <v>391</v>
      </c>
      <c r="K19" t="s">
        <v>392</v>
      </c>
      <c r="L19" t="s">
        <v>489</v>
      </c>
      <c r="M19" t="s">
        <v>490</v>
      </c>
    </row>
    <row r="20" spans="1:13" x14ac:dyDescent="0.35">
      <c r="A20" t="s">
        <v>498</v>
      </c>
      <c r="C20" s="63"/>
      <c r="D20" s="63"/>
    </row>
    <row r="21" spans="1:13" x14ac:dyDescent="0.35">
      <c r="A21" t="s">
        <v>499</v>
      </c>
      <c r="E21" s="63"/>
    </row>
    <row r="22" spans="1:13" x14ac:dyDescent="0.35">
      <c r="A22" t="s">
        <v>500</v>
      </c>
      <c r="F22" s="63"/>
      <c r="G22" s="63"/>
      <c r="H22" s="63"/>
    </row>
    <row r="23" spans="1:13" x14ac:dyDescent="0.35">
      <c r="A23" t="s">
        <v>501</v>
      </c>
      <c r="G23" s="63"/>
      <c r="H23" s="63"/>
      <c r="I23" s="63"/>
      <c r="J23" s="63"/>
    </row>
    <row r="24" spans="1:13" x14ac:dyDescent="0.35">
      <c r="A24" t="s">
        <v>403</v>
      </c>
      <c r="I24" s="63"/>
      <c r="J24" s="63"/>
      <c r="K24" s="63"/>
    </row>
    <row r="25" spans="1:13" x14ac:dyDescent="0.35">
      <c r="A25" t="s">
        <v>404</v>
      </c>
      <c r="J25" s="63"/>
      <c r="K25" s="63"/>
      <c r="L25" s="63"/>
    </row>
    <row r="26" spans="1:13" x14ac:dyDescent="0.35">
      <c r="A26" t="s">
        <v>405</v>
      </c>
      <c r="K26" s="63"/>
      <c r="L26" s="63"/>
      <c r="M26" s="63"/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Tareas V5</vt:lpstr>
      <vt:lpstr>Resumen</vt:lpstr>
      <vt:lpstr>Planificación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Alvarez Diaz</dc:creator>
  <cp:lastModifiedBy>Claudia Alvarez Diaz</cp:lastModifiedBy>
  <dcterms:created xsi:type="dcterms:W3CDTF">2026-03-05T15:37:33Z</dcterms:created>
  <dcterms:modified xsi:type="dcterms:W3CDTF">2026-03-06T09:41:27Z</dcterms:modified>
</cp:coreProperties>
</file>